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120" windowWidth="12192" windowHeight="5772"/>
  </bookViews>
  <sheets>
    <sheet name="CSM63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AN15" i="1"/>
  <c r="R16"/>
  <c r="R17"/>
  <c r="AC17" s="1"/>
  <c r="R18"/>
  <c r="AC18" s="1"/>
  <c r="R19"/>
  <c r="R20"/>
  <c r="R21"/>
  <c r="AC21" s="1"/>
  <c r="R22"/>
  <c r="AC16"/>
  <c r="AG16"/>
  <c r="AF16" s="1"/>
  <c r="AG17"/>
  <c r="AG18"/>
  <c r="AC19"/>
  <c r="AG19"/>
  <c r="AC20"/>
  <c r="AG20"/>
  <c r="AG21"/>
  <c r="AC22"/>
  <c r="AG22"/>
  <c r="W16"/>
  <c r="W17"/>
  <c r="W18"/>
  <c r="W19"/>
  <c r="W20"/>
  <c r="W21"/>
  <c r="W22"/>
  <c r="V16"/>
  <c r="V17"/>
  <c r="V18"/>
  <c r="V19"/>
  <c r="V20"/>
  <c r="V21"/>
  <c r="V22"/>
  <c r="T16"/>
  <c r="T17"/>
  <c r="T18"/>
  <c r="T19"/>
  <c r="T20"/>
  <c r="T21"/>
  <c r="T22"/>
  <c r="AF21" l="1"/>
  <c r="AF17"/>
  <c r="AF18"/>
  <c r="AF20"/>
  <c r="AF22"/>
  <c r="AF19"/>
  <c r="O16" l="1"/>
  <c r="O18"/>
  <c r="O19"/>
  <c r="O20"/>
  <c r="O21"/>
  <c r="O22"/>
  <c r="O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154"/>
  <c r="I155"/>
  <c r="I156"/>
  <c r="I157"/>
  <c r="I158"/>
  <c r="I159"/>
  <c r="I160"/>
  <c r="I161"/>
  <c r="I162"/>
  <c r="I163"/>
  <c r="I164"/>
  <c r="I165"/>
  <c r="I166"/>
  <c r="I167"/>
  <c r="I168"/>
  <c r="I169"/>
  <c r="I170"/>
  <c r="I171"/>
  <c r="I172"/>
  <c r="I173"/>
  <c r="I174"/>
  <c r="I175"/>
  <c r="I176"/>
  <c r="I177"/>
  <c r="I178"/>
  <c r="I179"/>
  <c r="I180"/>
  <c r="I181"/>
  <c r="I182"/>
  <c r="I183"/>
  <c r="I184"/>
  <c r="I185"/>
  <c r="I186"/>
  <c r="I187"/>
  <c r="I188"/>
  <c r="I189"/>
  <c r="I190"/>
  <c r="I191"/>
  <c r="I192"/>
  <c r="I193"/>
  <c r="I194"/>
  <c r="I195"/>
  <c r="I196"/>
  <c r="I197"/>
  <c r="I198"/>
  <c r="I199"/>
  <c r="I200"/>
  <c r="I201"/>
  <c r="I202"/>
  <c r="I203"/>
  <c r="I204"/>
  <c r="I205"/>
  <c r="I206"/>
  <c r="I207"/>
  <c r="I208"/>
  <c r="I209"/>
  <c r="I210"/>
  <c r="I211"/>
  <c r="I212"/>
  <c r="I213"/>
  <c r="I214"/>
  <c r="I215"/>
  <c r="I216"/>
  <c r="I217"/>
  <c r="I218"/>
  <c r="I219"/>
  <c r="I220"/>
  <c r="I221"/>
  <c r="I222"/>
  <c r="I223"/>
  <c r="I224"/>
  <c r="I225"/>
  <c r="I226"/>
  <c r="I227"/>
  <c r="I228"/>
  <c r="I229"/>
  <c r="I230"/>
  <c r="I231"/>
  <c r="I232"/>
  <c r="I233"/>
  <c r="I234"/>
  <c r="I235"/>
  <c r="I236"/>
  <c r="I237"/>
  <c r="I238"/>
  <c r="I239"/>
  <c r="I240"/>
  <c r="I241"/>
  <c r="I242"/>
  <c r="I243"/>
  <c r="I244"/>
  <c r="I245"/>
  <c r="I246"/>
  <c r="I247"/>
  <c r="I248"/>
  <c r="I249"/>
  <c r="I250"/>
  <c r="I251"/>
  <c r="I252"/>
  <c r="I253"/>
  <c r="I254"/>
  <c r="I255"/>
  <c r="I256"/>
  <c r="I257"/>
  <c r="I258"/>
  <c r="I259"/>
  <c r="I260"/>
  <c r="I261"/>
  <c r="I262"/>
  <c r="I263"/>
  <c r="I264"/>
  <c r="I265"/>
  <c r="I266"/>
  <c r="I267"/>
  <c r="I268"/>
  <c r="I269"/>
  <c r="I270"/>
  <c r="I271"/>
  <c r="I272"/>
  <c r="I273"/>
  <c r="I274"/>
  <c r="I275"/>
  <c r="I276"/>
  <c r="I277"/>
  <c r="I278"/>
  <c r="I279"/>
  <c r="I280"/>
  <c r="I281"/>
  <c r="I282"/>
  <c r="I283"/>
  <c r="I284"/>
  <c r="I285"/>
  <c r="I286"/>
  <c r="I287"/>
  <c r="I288"/>
  <c r="I289"/>
  <c r="I290"/>
  <c r="I291"/>
  <c r="I292"/>
  <c r="I293"/>
  <c r="I294"/>
  <c r="I295"/>
  <c r="I296"/>
  <c r="I297"/>
  <c r="I298"/>
  <c r="I299"/>
  <c r="I300"/>
  <c r="I301"/>
  <c r="I302"/>
  <c r="I303"/>
  <c r="I304"/>
  <c r="I305"/>
  <c r="I306"/>
  <c r="I307"/>
  <c r="I308"/>
  <c r="I309"/>
  <c r="I310"/>
  <c r="I311"/>
  <c r="I312"/>
  <c r="I313"/>
  <c r="I314"/>
  <c r="I315"/>
  <c r="I316"/>
  <c r="I317"/>
  <c r="I318"/>
  <c r="I319"/>
  <c r="I320"/>
  <c r="I321"/>
  <c r="I322"/>
  <c r="I323"/>
  <c r="I324"/>
  <c r="I325"/>
  <c r="I326"/>
  <c r="I327"/>
  <c r="I328"/>
  <c r="I329"/>
  <c r="I330"/>
  <c r="I331"/>
  <c r="I332"/>
  <c r="I333"/>
  <c r="I334"/>
  <c r="I335"/>
  <c r="I336"/>
  <c r="I337"/>
  <c r="I338"/>
  <c r="I339"/>
  <c r="I340"/>
  <c r="I341"/>
  <c r="I342"/>
  <c r="I343"/>
  <c r="I344"/>
  <c r="I345"/>
  <c r="I346"/>
  <c r="I347"/>
  <c r="I348"/>
  <c r="I349"/>
  <c r="I350"/>
  <c r="I351"/>
  <c r="I352"/>
  <c r="I353"/>
  <c r="I354"/>
  <c r="I355"/>
  <c r="I356"/>
  <c r="I357"/>
  <c r="I358"/>
  <c r="I359"/>
  <c r="I360"/>
  <c r="I361"/>
  <c r="I362"/>
  <c r="I363"/>
  <c r="I364"/>
  <c r="I365"/>
  <c r="I366"/>
  <c r="I367"/>
  <c r="I368"/>
  <c r="I369"/>
  <c r="I370"/>
  <c r="I371"/>
  <c r="I372"/>
  <c r="I373"/>
  <c r="I374"/>
  <c r="I375"/>
  <c r="I376"/>
  <c r="I377"/>
  <c r="I378"/>
  <c r="I379"/>
  <c r="I380"/>
  <c r="I381"/>
  <c r="I382"/>
  <c r="I383"/>
  <c r="I384"/>
  <c r="I385"/>
  <c r="I386"/>
  <c r="I387"/>
  <c r="I388"/>
  <c r="I389"/>
  <c r="I390"/>
  <c r="I391"/>
  <c r="I392"/>
  <c r="I393"/>
  <c r="I394"/>
  <c r="I395"/>
  <c r="I396"/>
  <c r="I397"/>
  <c r="I398"/>
  <c r="I399"/>
  <c r="I400"/>
  <c r="I401"/>
  <c r="I402"/>
  <c r="I403"/>
  <c r="I404"/>
  <c r="I405"/>
  <c r="I406"/>
  <c r="I407"/>
  <c r="I408"/>
  <c r="I409"/>
  <c r="I410"/>
  <c r="I411"/>
  <c r="I412"/>
  <c r="I413"/>
  <c r="I414"/>
  <c r="I415"/>
  <c r="I416"/>
  <c r="I417"/>
  <c r="I418"/>
  <c r="I419"/>
  <c r="I420"/>
  <c r="I421"/>
  <c r="I422"/>
  <c r="I423"/>
  <c r="I424"/>
  <c r="I425"/>
  <c r="I426"/>
  <c r="I427"/>
  <c r="I428"/>
  <c r="I429"/>
  <c r="I430"/>
  <c r="I431"/>
  <c r="I432"/>
  <c r="I433"/>
  <c r="I434"/>
  <c r="I435"/>
  <c r="I436"/>
  <c r="I437"/>
  <c r="I438"/>
  <c r="I439"/>
  <c r="I440"/>
  <c r="I441"/>
  <c r="I442"/>
  <c r="I443"/>
  <c r="I444"/>
  <c r="I445"/>
  <c r="I446"/>
  <c r="I447"/>
  <c r="I448"/>
  <c r="I449"/>
  <c r="I450"/>
  <c r="I451"/>
  <c r="I452"/>
  <c r="I453"/>
  <c r="I454"/>
  <c r="I455"/>
  <c r="I456"/>
  <c r="I457"/>
  <c r="I458"/>
  <c r="I459"/>
  <c r="I460"/>
  <c r="I461"/>
  <c r="I462"/>
  <c r="I463"/>
  <c r="I464"/>
  <c r="I465"/>
  <c r="I466"/>
  <c r="I467"/>
  <c r="I468"/>
  <c r="I469"/>
  <c r="I470"/>
  <c r="I471"/>
  <c r="I472"/>
  <c r="I473"/>
  <c r="I474"/>
  <c r="I475"/>
  <c r="I476"/>
  <c r="I477"/>
  <c r="I478"/>
  <c r="I479"/>
  <c r="I480"/>
  <c r="I481"/>
  <c r="I482"/>
  <c r="I483"/>
  <c r="I484"/>
  <c r="I485"/>
  <c r="I486"/>
  <c r="I487"/>
  <c r="I488"/>
  <c r="I489"/>
  <c r="I490"/>
  <c r="I491"/>
  <c r="I492"/>
  <c r="I493"/>
  <c r="I494"/>
  <c r="I495"/>
  <c r="I496"/>
  <c r="I497"/>
  <c r="I498"/>
  <c r="I499"/>
  <c r="I500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75"/>
  <c r="F276"/>
  <c r="F277"/>
  <c r="F278"/>
  <c r="F279"/>
  <c r="F280"/>
  <c r="F281"/>
  <c r="F282"/>
  <c r="F283"/>
  <c r="F284"/>
  <c r="F285"/>
  <c r="F286"/>
  <c r="F287"/>
  <c r="F288"/>
  <c r="F289"/>
  <c r="F290"/>
  <c r="F291"/>
  <c r="F292"/>
  <c r="F293"/>
  <c r="F294"/>
  <c r="F295"/>
  <c r="F296"/>
  <c r="F297"/>
  <c r="F298"/>
  <c r="F299"/>
  <c r="F300"/>
  <c r="F301"/>
  <c r="F302"/>
  <c r="F303"/>
  <c r="F304"/>
  <c r="F305"/>
  <c r="F306"/>
  <c r="F307"/>
  <c r="F308"/>
  <c r="F309"/>
  <c r="F310"/>
  <c r="F311"/>
  <c r="F312"/>
  <c r="F313"/>
  <c r="F314"/>
  <c r="F315"/>
  <c r="F316"/>
  <c r="F317"/>
  <c r="F318"/>
  <c r="F319"/>
  <c r="F320"/>
  <c r="F321"/>
  <c r="F322"/>
  <c r="F323"/>
  <c r="F324"/>
  <c r="F325"/>
  <c r="F326"/>
  <c r="F327"/>
  <c r="F328"/>
  <c r="F329"/>
  <c r="F330"/>
  <c r="F331"/>
  <c r="F332"/>
  <c r="F333"/>
  <c r="F334"/>
  <c r="F335"/>
  <c r="F336"/>
  <c r="F337"/>
  <c r="F338"/>
  <c r="F339"/>
  <c r="F340"/>
  <c r="F341"/>
  <c r="F342"/>
  <c r="F343"/>
  <c r="F344"/>
  <c r="F345"/>
  <c r="F346"/>
  <c r="F347"/>
  <c r="F348"/>
  <c r="F349"/>
  <c r="F350"/>
  <c r="F351"/>
  <c r="F352"/>
  <c r="F353"/>
  <c r="F354"/>
  <c r="F355"/>
  <c r="F356"/>
  <c r="F357"/>
  <c r="F358"/>
  <c r="F359"/>
  <c r="F360"/>
  <c r="F361"/>
  <c r="F362"/>
  <c r="F363"/>
  <c r="F364"/>
  <c r="F365"/>
  <c r="F366"/>
  <c r="F367"/>
  <c r="F368"/>
  <c r="F369"/>
  <c r="F370"/>
  <c r="F371"/>
  <c r="F372"/>
  <c r="F373"/>
  <c r="F374"/>
  <c r="F375"/>
  <c r="F376"/>
  <c r="F377"/>
  <c r="F378"/>
  <c r="F379"/>
  <c r="F380"/>
  <c r="F381"/>
  <c r="F382"/>
  <c r="F383"/>
  <c r="F384"/>
  <c r="F385"/>
  <c r="F386"/>
  <c r="F387"/>
  <c r="F388"/>
  <c r="F389"/>
  <c r="F390"/>
  <c r="F391"/>
  <c r="F392"/>
  <c r="F393"/>
  <c r="F394"/>
  <c r="F395"/>
  <c r="F396"/>
  <c r="F397"/>
  <c r="F398"/>
  <c r="F399"/>
  <c r="F400"/>
  <c r="F401"/>
  <c r="F402"/>
  <c r="F403"/>
  <c r="F404"/>
  <c r="F405"/>
  <c r="F406"/>
  <c r="F407"/>
  <c r="F408"/>
  <c r="F409"/>
  <c r="F410"/>
  <c r="F411"/>
  <c r="F412"/>
  <c r="F413"/>
  <c r="F414"/>
  <c r="F415"/>
  <c r="F416"/>
  <c r="F417"/>
  <c r="F418"/>
  <c r="F419"/>
  <c r="F420"/>
  <c r="F421"/>
  <c r="F422"/>
  <c r="F423"/>
  <c r="F424"/>
  <c r="F425"/>
  <c r="F426"/>
  <c r="F427"/>
  <c r="F428"/>
  <c r="F429"/>
  <c r="F430"/>
  <c r="F431"/>
  <c r="F432"/>
  <c r="F433"/>
  <c r="F434"/>
  <c r="F435"/>
  <c r="F436"/>
  <c r="F437"/>
  <c r="F438"/>
  <c r="F439"/>
  <c r="F440"/>
  <c r="F441"/>
  <c r="F442"/>
  <c r="F443"/>
  <c r="F444"/>
  <c r="F445"/>
  <c r="F446"/>
  <c r="F447"/>
  <c r="F448"/>
  <c r="F449"/>
  <c r="F450"/>
  <c r="F451"/>
  <c r="F452"/>
  <c r="F453"/>
  <c r="F454"/>
  <c r="F455"/>
  <c r="F456"/>
  <c r="F457"/>
  <c r="F458"/>
  <c r="F459"/>
  <c r="F460"/>
  <c r="F461"/>
  <c r="F462"/>
  <c r="F463"/>
  <c r="F464"/>
  <c r="F465"/>
  <c r="F466"/>
  <c r="F467"/>
  <c r="F468"/>
  <c r="F469"/>
  <c r="F470"/>
  <c r="F471"/>
  <c r="F472"/>
  <c r="F473"/>
  <c r="F474"/>
  <c r="F475"/>
  <c r="F476"/>
  <c r="F477"/>
  <c r="F478"/>
  <c r="F479"/>
  <c r="F480"/>
  <c r="F481"/>
  <c r="F482"/>
  <c r="F483"/>
  <c r="F484"/>
  <c r="F485"/>
  <c r="F486"/>
  <c r="F487"/>
  <c r="F488"/>
  <c r="F489"/>
  <c r="F490"/>
  <c r="F491"/>
  <c r="F492"/>
  <c r="F493"/>
  <c r="F494"/>
  <c r="F495"/>
  <c r="F496"/>
  <c r="F497"/>
  <c r="F498"/>
  <c r="F499"/>
  <c r="F500"/>
  <c r="F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E430"/>
  <c r="E431"/>
  <c r="E432"/>
  <c r="E433"/>
  <c r="E434"/>
  <c r="E435"/>
  <c r="E436"/>
  <c r="E437"/>
  <c r="E438"/>
  <c r="E439"/>
  <c r="E440"/>
  <c r="E441"/>
  <c r="E442"/>
  <c r="E443"/>
  <c r="E444"/>
  <c r="E445"/>
  <c r="E446"/>
  <c r="E447"/>
  <c r="E448"/>
  <c r="E449"/>
  <c r="E450"/>
  <c r="E451"/>
  <c r="E452"/>
  <c r="E453"/>
  <c r="E454"/>
  <c r="E455"/>
  <c r="E456"/>
  <c r="E457"/>
  <c r="E458"/>
  <c r="E459"/>
  <c r="E460"/>
  <c r="E461"/>
  <c r="E462"/>
  <c r="E463"/>
  <c r="E464"/>
  <c r="E465"/>
  <c r="E466"/>
  <c r="E467"/>
  <c r="E468"/>
  <c r="E469"/>
  <c r="E470"/>
  <c r="E471"/>
  <c r="E472"/>
  <c r="E473"/>
  <c r="E474"/>
  <c r="E475"/>
  <c r="E476"/>
  <c r="E477"/>
  <c r="E478"/>
  <c r="E479"/>
  <c r="E480"/>
  <c r="E481"/>
  <c r="E482"/>
  <c r="E483"/>
  <c r="E484"/>
  <c r="E485"/>
  <c r="E486"/>
  <c r="E487"/>
  <c r="E488"/>
  <c r="E489"/>
  <c r="E490"/>
  <c r="E491"/>
  <c r="E492"/>
  <c r="E493"/>
  <c r="E494"/>
  <c r="E495"/>
  <c r="E496"/>
  <c r="E497"/>
  <c r="E498"/>
  <c r="E499"/>
  <c r="E500"/>
  <c r="E15"/>
  <c r="C380"/>
  <c r="D380"/>
  <c r="C381"/>
  <c r="D381"/>
  <c r="C382"/>
  <c r="D382"/>
  <c r="C383"/>
  <c r="D383"/>
  <c r="C384"/>
  <c r="D384"/>
  <c r="C385"/>
  <c r="D385"/>
  <c r="C386"/>
  <c r="D386"/>
  <c r="C387"/>
  <c r="D387"/>
  <c r="C388"/>
  <c r="D388"/>
  <c r="C389"/>
  <c r="D389"/>
  <c r="C390"/>
  <c r="D390"/>
  <c r="C391"/>
  <c r="D391"/>
  <c r="C392"/>
  <c r="D392"/>
  <c r="C393"/>
  <c r="D393"/>
  <c r="C394"/>
  <c r="D394"/>
  <c r="C395"/>
  <c r="D395"/>
  <c r="C396"/>
  <c r="D396"/>
  <c r="C397"/>
  <c r="D397"/>
  <c r="C398"/>
  <c r="D398"/>
  <c r="C399"/>
  <c r="D399"/>
  <c r="C400"/>
  <c r="D400"/>
  <c r="C401"/>
  <c r="D401"/>
  <c r="C402"/>
  <c r="D402"/>
  <c r="C403"/>
  <c r="D403"/>
  <c r="C404"/>
  <c r="D404"/>
  <c r="C405"/>
  <c r="D405"/>
  <c r="C406"/>
  <c r="D406"/>
  <c r="C407"/>
  <c r="D407"/>
  <c r="C408"/>
  <c r="D408"/>
  <c r="C409"/>
  <c r="D409"/>
  <c r="C410"/>
  <c r="D410"/>
  <c r="C411"/>
  <c r="D411"/>
  <c r="C412"/>
  <c r="D412"/>
  <c r="C413"/>
  <c r="D413"/>
  <c r="C414"/>
  <c r="D414"/>
  <c r="C415"/>
  <c r="D415"/>
  <c r="C416"/>
  <c r="D416"/>
  <c r="C417"/>
  <c r="D417"/>
  <c r="C418"/>
  <c r="D418"/>
  <c r="C419"/>
  <c r="D419"/>
  <c r="C420"/>
  <c r="D420"/>
  <c r="C421"/>
  <c r="D421"/>
  <c r="C422"/>
  <c r="D422"/>
  <c r="C423"/>
  <c r="D423"/>
  <c r="C424"/>
  <c r="D424"/>
  <c r="C425"/>
  <c r="D425"/>
  <c r="C426"/>
  <c r="D426"/>
  <c r="C427"/>
  <c r="D427"/>
  <c r="C428"/>
  <c r="D428"/>
  <c r="C429"/>
  <c r="D429"/>
  <c r="C430"/>
  <c r="D430"/>
  <c r="C431"/>
  <c r="D431"/>
  <c r="C432"/>
  <c r="D432"/>
  <c r="C433"/>
  <c r="D433"/>
  <c r="C434"/>
  <c r="D434"/>
  <c r="C435"/>
  <c r="D435"/>
  <c r="C436"/>
  <c r="D436"/>
  <c r="C437"/>
  <c r="D437"/>
  <c r="C438"/>
  <c r="D438"/>
  <c r="C439"/>
  <c r="D439"/>
  <c r="C440"/>
  <c r="D440"/>
  <c r="C441"/>
  <c r="D441"/>
  <c r="C442"/>
  <c r="D442"/>
  <c r="C443"/>
  <c r="D443"/>
  <c r="C444"/>
  <c r="D444"/>
  <c r="C445"/>
  <c r="D445"/>
  <c r="C446"/>
  <c r="D446"/>
  <c r="C447"/>
  <c r="D447"/>
  <c r="C448"/>
  <c r="D448"/>
  <c r="C449"/>
  <c r="D449"/>
  <c r="C450"/>
  <c r="D450"/>
  <c r="C451"/>
  <c r="D451"/>
  <c r="C452"/>
  <c r="D452"/>
  <c r="C453"/>
  <c r="D453"/>
  <c r="C454"/>
  <c r="D454"/>
  <c r="C455"/>
  <c r="D455"/>
  <c r="C456"/>
  <c r="D456"/>
  <c r="C457"/>
  <c r="D457"/>
  <c r="C458"/>
  <c r="D458"/>
  <c r="C459"/>
  <c r="D459"/>
  <c r="C460"/>
  <c r="D460"/>
  <c r="C461"/>
  <c r="D461"/>
  <c r="C462"/>
  <c r="D462"/>
  <c r="C463"/>
  <c r="D463"/>
  <c r="C464"/>
  <c r="D464"/>
  <c r="C465"/>
  <c r="D465"/>
  <c r="C466"/>
  <c r="D466"/>
  <c r="C467"/>
  <c r="D467"/>
  <c r="C468"/>
  <c r="D468"/>
  <c r="C469"/>
  <c r="D469"/>
  <c r="C470"/>
  <c r="D470"/>
  <c r="C471"/>
  <c r="D471"/>
  <c r="C472"/>
  <c r="D472"/>
  <c r="C473"/>
  <c r="D473"/>
  <c r="C474"/>
  <c r="D474"/>
  <c r="C475"/>
  <c r="D475"/>
  <c r="C476"/>
  <c r="D476"/>
  <c r="C477"/>
  <c r="D477"/>
  <c r="C478"/>
  <c r="D478"/>
  <c r="C479"/>
  <c r="D479"/>
  <c r="C480"/>
  <c r="D480"/>
  <c r="C481"/>
  <c r="D481"/>
  <c r="C482"/>
  <c r="D482"/>
  <c r="C483"/>
  <c r="D483"/>
  <c r="C484"/>
  <c r="D484"/>
  <c r="C485"/>
  <c r="D485"/>
  <c r="C486"/>
  <c r="D486"/>
  <c r="C487"/>
  <c r="D487"/>
  <c r="C488"/>
  <c r="D488"/>
  <c r="C489"/>
  <c r="D489"/>
  <c r="C490"/>
  <c r="D490"/>
  <c r="C491"/>
  <c r="D491"/>
  <c r="C492"/>
  <c r="D492"/>
  <c r="C493"/>
  <c r="D493"/>
  <c r="C494"/>
  <c r="D494"/>
  <c r="C495"/>
  <c r="D495"/>
  <c r="C496"/>
  <c r="D496"/>
  <c r="C497"/>
  <c r="D497"/>
  <c r="C498"/>
  <c r="D498"/>
  <c r="C499"/>
  <c r="D499"/>
  <c r="C500"/>
  <c r="D500"/>
  <c r="A2" i="2"/>
  <c r="A3"/>
  <c r="A4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149"/>
  <c r="A150"/>
  <c r="A151"/>
  <c r="A152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177"/>
  <c r="A178"/>
  <c r="A179"/>
  <c r="A180"/>
  <c r="A181"/>
  <c r="A182"/>
  <c r="A183"/>
  <c r="A184"/>
  <c r="A185"/>
  <c r="A186"/>
  <c r="A187"/>
  <c r="A188"/>
  <c r="A189"/>
  <c r="A190"/>
  <c r="A191"/>
  <c r="A192"/>
  <c r="A193"/>
  <c r="A194"/>
  <c r="A195"/>
  <c r="A196"/>
  <c r="A197"/>
  <c r="A198"/>
  <c r="A199"/>
  <c r="A200"/>
  <c r="A201"/>
  <c r="A202"/>
  <c r="A203"/>
  <c r="A204"/>
  <c r="A205"/>
  <c r="A206"/>
  <c r="A207"/>
  <c r="A208"/>
  <c r="A209"/>
  <c r="A210"/>
  <c r="A211"/>
  <c r="A212"/>
  <c r="A213"/>
  <c r="A214"/>
  <c r="A215"/>
  <c r="A216"/>
  <c r="A217"/>
  <c r="A218"/>
  <c r="A219"/>
  <c r="A220"/>
  <c r="A221"/>
  <c r="A222"/>
  <c r="A223"/>
  <c r="A224"/>
  <c r="A225"/>
  <c r="A226"/>
  <c r="A227"/>
  <c r="A228"/>
  <c r="A229"/>
  <c r="A230"/>
  <c r="A231"/>
  <c r="A232"/>
  <c r="A233"/>
  <c r="A234"/>
  <c r="A235"/>
  <c r="A236"/>
  <c r="A237"/>
  <c r="A238"/>
  <c r="A239"/>
  <c r="A240"/>
  <c r="A241"/>
  <c r="A242"/>
  <c r="A243"/>
  <c r="A244"/>
  <c r="A245"/>
  <c r="A246"/>
  <c r="A247"/>
  <c r="A248"/>
  <c r="A249"/>
  <c r="A250"/>
  <c r="A251"/>
  <c r="A252"/>
  <c r="A253"/>
  <c r="A254"/>
  <c r="A255"/>
  <c r="A256"/>
  <c r="A257"/>
  <c r="A258"/>
  <c r="A259"/>
  <c r="A260"/>
  <c r="A261"/>
  <c r="A262"/>
  <c r="A263"/>
  <c r="A264"/>
  <c r="A265"/>
  <c r="A266"/>
  <c r="A267"/>
  <c r="A268"/>
  <c r="A269"/>
  <c r="A270"/>
  <c r="A271"/>
  <c r="A272"/>
  <c r="A273"/>
  <c r="A274"/>
  <c r="A275"/>
  <c r="A276"/>
  <c r="A277"/>
  <c r="A278"/>
  <c r="A279"/>
  <c r="A280"/>
  <c r="A281"/>
  <c r="A282"/>
  <c r="A283"/>
  <c r="A284"/>
  <c r="A285"/>
  <c r="A286"/>
  <c r="A287"/>
  <c r="A288"/>
  <c r="A289"/>
  <c r="A290"/>
  <c r="A291"/>
  <c r="A292"/>
  <c r="A293"/>
  <c r="A294"/>
  <c r="A295"/>
  <c r="A296"/>
  <c r="A297"/>
  <c r="A298"/>
  <c r="A299"/>
  <c r="A300"/>
  <c r="A301"/>
  <c r="A302"/>
  <c r="A303"/>
  <c r="A304"/>
  <c r="A305"/>
  <c r="A306"/>
  <c r="A307"/>
  <c r="A308"/>
  <c r="A309"/>
  <c r="A310"/>
  <c r="A311"/>
  <c r="A312"/>
  <c r="A313"/>
  <c r="A314"/>
  <c r="A315"/>
  <c r="A316"/>
  <c r="A317"/>
  <c r="A318"/>
  <c r="A319"/>
  <c r="A320"/>
  <c r="A321"/>
  <c r="A322"/>
  <c r="A323"/>
  <c r="A324"/>
  <c r="A325"/>
  <c r="A326"/>
  <c r="A327"/>
  <c r="A328"/>
  <c r="A329"/>
  <c r="A330"/>
  <c r="A331"/>
  <c r="A332"/>
  <c r="A333"/>
  <c r="A334"/>
  <c r="A335"/>
  <c r="A336"/>
  <c r="A337"/>
  <c r="A338"/>
  <c r="A339"/>
  <c r="A340"/>
  <c r="A341"/>
  <c r="A342"/>
  <c r="A343"/>
  <c r="A344"/>
  <c r="A345"/>
  <c r="A346"/>
  <c r="A347"/>
  <c r="A348"/>
  <c r="A349"/>
  <c r="A350"/>
  <c r="A351"/>
  <c r="A352"/>
  <c r="A353"/>
  <c r="A354"/>
  <c r="A355"/>
  <c r="A356"/>
  <c r="A357"/>
  <c r="A358"/>
  <c r="A359"/>
  <c r="A360"/>
  <c r="A361"/>
  <c r="A362"/>
  <c r="A363"/>
  <c r="A364"/>
  <c r="A365"/>
  <c r="A366"/>
  <c r="A367"/>
  <c r="A368"/>
  <c r="A369"/>
  <c r="A370"/>
  <c r="A371"/>
  <c r="A372"/>
  <c r="A373"/>
  <c r="A374"/>
  <c r="A375"/>
  <c r="A376"/>
  <c r="A377"/>
  <c r="A378"/>
  <c r="A379"/>
  <c r="A380"/>
  <c r="A381"/>
  <c r="A382"/>
  <c r="A383"/>
  <c r="A384"/>
  <c r="A385"/>
  <c r="A386"/>
  <c r="A387"/>
  <c r="A388"/>
  <c r="A389"/>
  <c r="A390"/>
  <c r="A391"/>
  <c r="A392"/>
  <c r="A393"/>
  <c r="A394"/>
  <c r="A395"/>
  <c r="A396"/>
  <c r="A397"/>
  <c r="A398"/>
  <c r="A399"/>
  <c r="A400"/>
  <c r="A401"/>
  <c r="A402"/>
  <c r="A403"/>
  <c r="A404"/>
  <c r="A405"/>
  <c r="A406"/>
  <c r="A407"/>
  <c r="A408"/>
  <c r="A409"/>
  <c r="A410"/>
  <c r="A411"/>
  <c r="A412"/>
  <c r="A413"/>
  <c r="A414"/>
  <c r="A415"/>
  <c r="A416"/>
  <c r="A417"/>
  <c r="A418"/>
  <c r="A419"/>
  <c r="A420"/>
  <c r="A421"/>
  <c r="A422"/>
  <c r="A423"/>
  <c r="A424"/>
  <c r="A425"/>
  <c r="A426"/>
  <c r="A427"/>
  <c r="A428"/>
  <c r="A429"/>
  <c r="A430"/>
  <c r="A431"/>
  <c r="A432"/>
  <c r="A433"/>
  <c r="A434"/>
  <c r="A435"/>
  <c r="A436"/>
  <c r="A437"/>
  <c r="A438"/>
  <c r="A439"/>
  <c r="A440"/>
  <c r="A441"/>
  <c r="A442"/>
  <c r="A443"/>
  <c r="A444"/>
  <c r="A445"/>
  <c r="A446"/>
  <c r="A447"/>
  <c r="A448"/>
  <c r="A449"/>
  <c r="A450"/>
  <c r="A451"/>
  <c r="A452"/>
  <c r="A453"/>
  <c r="A454"/>
  <c r="A455"/>
  <c r="A456"/>
  <c r="A457"/>
  <c r="A458"/>
  <c r="A459"/>
  <c r="A460"/>
  <c r="A461"/>
  <c r="A462"/>
  <c r="A463"/>
  <c r="A464"/>
  <c r="A465"/>
  <c r="A466"/>
  <c r="A467"/>
  <c r="A468"/>
  <c r="A469"/>
  <c r="A470"/>
  <c r="A471"/>
  <c r="A472"/>
  <c r="A473"/>
  <c r="A474"/>
  <c r="A475"/>
  <c r="A476"/>
  <c r="A477"/>
  <c r="A478"/>
  <c r="A479"/>
  <c r="A480"/>
  <c r="A481"/>
  <c r="A482"/>
  <c r="A483"/>
  <c r="A484"/>
  <c r="A485"/>
  <c r="A486"/>
  <c r="A1"/>
  <c r="R15" i="1"/>
  <c r="AN6"/>
  <c r="AN5" s="1"/>
  <c r="C171"/>
  <c r="C37"/>
  <c r="C160"/>
  <c r="C242"/>
  <c r="C280"/>
  <c r="C105"/>
  <c r="C300"/>
  <c r="C337"/>
  <c r="C180"/>
  <c r="C124"/>
  <c r="C309"/>
  <c r="C275"/>
  <c r="C258"/>
  <c r="C71"/>
  <c r="C352"/>
  <c r="C35"/>
  <c r="C21"/>
  <c r="C323"/>
  <c r="C234"/>
  <c r="C203"/>
  <c r="C231"/>
  <c r="C153"/>
  <c r="C122"/>
  <c r="C365"/>
  <c r="C20"/>
  <c r="C235"/>
  <c r="C342"/>
  <c r="C68"/>
  <c r="C190"/>
  <c r="C115"/>
  <c r="C168"/>
  <c r="C26"/>
  <c r="C229"/>
  <c r="C70"/>
  <c r="C142"/>
  <c r="C84"/>
  <c r="C136"/>
  <c r="C284"/>
  <c r="C162"/>
  <c r="C324"/>
  <c r="C140"/>
  <c r="C277"/>
  <c r="C119"/>
  <c r="C362"/>
  <c r="C311"/>
  <c r="C158"/>
  <c r="C188"/>
  <c r="C358"/>
  <c r="C294"/>
  <c r="C121"/>
  <c r="C248"/>
  <c r="C316"/>
  <c r="C169"/>
  <c r="C200"/>
  <c r="C72"/>
  <c r="C130"/>
  <c r="C185"/>
  <c r="C149"/>
  <c r="C255"/>
  <c r="C302"/>
  <c r="C62"/>
  <c r="C360"/>
  <c r="C192"/>
  <c r="C204"/>
  <c r="C299"/>
  <c r="C208"/>
  <c r="C87"/>
  <c r="C179"/>
  <c r="C113"/>
  <c r="C276"/>
  <c r="C51"/>
  <c r="C99"/>
  <c r="C109"/>
  <c r="C325"/>
  <c r="C196"/>
  <c r="C261"/>
  <c r="C259"/>
  <c r="C170"/>
  <c r="C96"/>
  <c r="C319"/>
  <c r="C346"/>
  <c r="C108"/>
  <c r="C357"/>
  <c r="C329"/>
  <c r="C43"/>
  <c r="C57"/>
  <c r="C61"/>
  <c r="C263"/>
  <c r="C156"/>
  <c r="C146"/>
  <c r="C40"/>
  <c r="C97"/>
  <c r="C312"/>
  <c r="C125"/>
  <c r="C330"/>
  <c r="C271"/>
  <c r="C253"/>
  <c r="C175"/>
  <c r="C42"/>
  <c r="C141"/>
  <c r="C372"/>
  <c r="C298"/>
  <c r="C189"/>
  <c r="C186"/>
  <c r="C77"/>
  <c r="C67"/>
  <c r="C254"/>
  <c r="C137"/>
  <c r="C159"/>
  <c r="C283"/>
  <c r="C351"/>
  <c r="C154"/>
  <c r="C64"/>
  <c r="C257"/>
  <c r="C249"/>
  <c r="C110"/>
  <c r="C30"/>
  <c r="C359"/>
  <c r="C345"/>
  <c r="C164"/>
  <c r="C60"/>
  <c r="C282"/>
  <c r="C265"/>
  <c r="C80"/>
  <c r="C194"/>
  <c r="C219"/>
  <c r="C128"/>
  <c r="C39"/>
  <c r="C69"/>
  <c r="C91"/>
  <c r="C252"/>
  <c r="C88"/>
  <c r="C98"/>
  <c r="C123"/>
  <c r="C216"/>
  <c r="C354"/>
  <c r="C291"/>
  <c r="C368"/>
  <c r="C107"/>
  <c r="C197"/>
  <c r="C78"/>
  <c r="C150"/>
  <c r="C206"/>
  <c r="C373"/>
  <c r="C222"/>
  <c r="C251"/>
  <c r="C264"/>
  <c r="C240"/>
  <c r="C117"/>
  <c r="C167"/>
  <c r="C301"/>
  <c r="C116"/>
  <c r="C56"/>
  <c r="C111"/>
  <c r="C139"/>
  <c r="C209"/>
  <c r="C295"/>
  <c r="C210"/>
  <c r="C333"/>
  <c r="C148"/>
  <c r="C363"/>
  <c r="C101"/>
  <c r="C343"/>
  <c r="C28"/>
  <c r="C82"/>
  <c r="C173"/>
  <c r="C377"/>
  <c r="C25"/>
  <c r="C90"/>
  <c r="C100"/>
  <c r="C187"/>
  <c r="C314"/>
  <c r="C339"/>
  <c r="C17"/>
  <c r="C135"/>
  <c r="C32"/>
  <c r="C227"/>
  <c r="C94"/>
  <c r="C79"/>
  <c r="C239"/>
  <c r="C18"/>
  <c r="C241"/>
  <c r="C221"/>
  <c r="C308"/>
  <c r="C47"/>
  <c r="C195"/>
  <c r="C144"/>
  <c r="C118"/>
  <c r="C15"/>
  <c r="C307"/>
  <c r="C49"/>
  <c r="C83"/>
  <c r="C250"/>
  <c r="C292"/>
  <c r="C374"/>
  <c r="C183"/>
  <c r="C29"/>
  <c r="C361"/>
  <c r="C376"/>
  <c r="C143"/>
  <c r="C172"/>
  <c r="C85"/>
  <c r="C58"/>
  <c r="C290"/>
  <c r="C232"/>
  <c r="C304"/>
  <c r="C92"/>
  <c r="C178"/>
  <c r="C155"/>
  <c r="C267"/>
  <c r="C63"/>
  <c r="C133"/>
  <c r="C205"/>
  <c r="C285"/>
  <c r="C193"/>
  <c r="C274"/>
  <c r="C73"/>
  <c r="C303"/>
  <c r="C296"/>
  <c r="C165"/>
  <c r="C288"/>
  <c r="C370"/>
  <c r="C211"/>
  <c r="C23"/>
  <c r="C161"/>
  <c r="C134"/>
  <c r="C322"/>
  <c r="C41"/>
  <c r="C247"/>
  <c r="C207"/>
  <c r="C184"/>
  <c r="C191"/>
  <c r="C166"/>
  <c r="C364"/>
  <c r="C212"/>
  <c r="C226"/>
  <c r="C256"/>
  <c r="C152"/>
  <c r="C306"/>
  <c r="C245"/>
  <c r="C224"/>
  <c r="C177"/>
  <c r="C335"/>
  <c r="C54"/>
  <c r="C53"/>
  <c r="C182"/>
  <c r="C215"/>
  <c r="C103"/>
  <c r="C321"/>
  <c r="C38"/>
  <c r="C86"/>
  <c r="C151"/>
  <c r="C344"/>
  <c r="C22"/>
  <c r="C246"/>
  <c r="C268"/>
  <c r="C243"/>
  <c r="C273"/>
  <c r="C366"/>
  <c r="C336"/>
  <c r="C326"/>
  <c r="C317"/>
  <c r="C59"/>
  <c r="C297"/>
  <c r="C157"/>
  <c r="C238"/>
  <c r="C126"/>
  <c r="C104"/>
  <c r="C19"/>
  <c r="C174"/>
  <c r="C163"/>
  <c r="C286"/>
  <c r="C50"/>
  <c r="C269"/>
  <c r="C262"/>
  <c r="C147"/>
  <c r="C353"/>
  <c r="C176"/>
  <c r="C74"/>
  <c r="C225"/>
  <c r="C112"/>
  <c r="C244"/>
  <c r="C120"/>
  <c r="C237"/>
  <c r="C260"/>
  <c r="C138"/>
  <c r="C278"/>
  <c r="C44"/>
  <c r="C102"/>
  <c r="C266"/>
  <c r="C75"/>
  <c r="C65"/>
  <c r="C114"/>
  <c r="C76"/>
  <c r="C375"/>
  <c r="C287"/>
  <c r="C46"/>
  <c r="C341"/>
  <c r="C230"/>
  <c r="C350"/>
  <c r="C106"/>
  <c r="C236"/>
  <c r="C24"/>
  <c r="C131"/>
  <c r="C348"/>
  <c r="C27"/>
  <c r="C340"/>
  <c r="C201"/>
  <c r="C272"/>
  <c r="C281"/>
  <c r="C279"/>
  <c r="C218"/>
  <c r="C371"/>
  <c r="C331"/>
  <c r="C293"/>
  <c r="C33"/>
  <c r="C34"/>
  <c r="C356"/>
  <c r="C55"/>
  <c r="C289"/>
  <c r="C181"/>
  <c r="C228"/>
  <c r="C315"/>
  <c r="C220"/>
  <c r="C48"/>
  <c r="C310"/>
  <c r="C45"/>
  <c r="C214"/>
  <c r="C16"/>
  <c r="C338"/>
  <c r="C202"/>
  <c r="C378"/>
  <c r="C132"/>
  <c r="C327"/>
  <c r="C223"/>
  <c r="C217"/>
  <c r="C355"/>
  <c r="C320"/>
  <c r="C198"/>
  <c r="C332"/>
  <c r="C367"/>
  <c r="C270"/>
  <c r="C145"/>
  <c r="C313"/>
  <c r="C66"/>
  <c r="C127"/>
  <c r="C52"/>
  <c r="C199"/>
  <c r="C349"/>
  <c r="C89"/>
  <c r="C334"/>
  <c r="C347"/>
  <c r="C36"/>
  <c r="C233"/>
  <c r="C93"/>
  <c r="C379"/>
  <c r="C328"/>
  <c r="C81"/>
  <c r="C31"/>
  <c r="C369"/>
  <c r="C318"/>
  <c r="C95"/>
  <c r="C305"/>
  <c r="C213"/>
  <c r="C129" l="1"/>
  <c r="AN7"/>
  <c r="AN8" s="1"/>
  <c r="AX26"/>
  <c r="AX19"/>
  <c r="AX10"/>
  <c r="T15"/>
  <c r="Y12"/>
  <c r="D15"/>
  <c r="I15"/>
  <c r="X16" l="1"/>
  <c r="X20"/>
  <c r="X19"/>
  <c r="X18"/>
  <c r="X22"/>
  <c r="X17"/>
  <c r="X21"/>
  <c r="D17"/>
  <c r="D16"/>
  <c r="B15"/>
  <c r="B16" s="1"/>
  <c r="B17" s="1"/>
  <c r="B18" s="1"/>
  <c r="B19" s="1"/>
  <c r="B20" s="1"/>
  <c r="B21" s="1"/>
  <c r="B22" s="1"/>
  <c r="B23" s="1"/>
  <c r="B24" s="1"/>
  <c r="B25" s="1"/>
  <c r="B26" s="1"/>
  <c r="B27" s="1"/>
  <c r="B28" s="1"/>
  <c r="B29" s="1"/>
  <c r="B30" s="1"/>
  <c r="B31" s="1"/>
  <c r="B32" s="1"/>
  <c r="B33" s="1"/>
  <c r="B34" s="1"/>
  <c r="B35" s="1"/>
  <c r="B36" s="1"/>
  <c r="B37" s="1"/>
  <c r="B38" s="1"/>
  <c r="B39" s="1"/>
  <c r="B40" s="1"/>
  <c r="B41" s="1"/>
  <c r="B42" s="1"/>
  <c r="B43" s="1"/>
  <c r="B44" s="1"/>
  <c r="B45" s="1"/>
  <c r="B46" s="1"/>
  <c r="B47" s="1"/>
  <c r="B48" s="1"/>
  <c r="B49" s="1"/>
  <c r="B50" s="1"/>
  <c r="B51" s="1"/>
  <c r="B52" s="1"/>
  <c r="B53" s="1"/>
  <c r="B54" s="1"/>
  <c r="B55" s="1"/>
  <c r="B56" s="1"/>
  <c r="B57" s="1"/>
  <c r="B58" s="1"/>
  <c r="B59" s="1"/>
  <c r="B60" s="1"/>
  <c r="B61" s="1"/>
  <c r="B62" s="1"/>
  <c r="B63" s="1"/>
  <c r="B64" s="1"/>
  <c r="B65" s="1"/>
  <c r="B66" s="1"/>
  <c r="B67" s="1"/>
  <c r="B68" s="1"/>
  <c r="B69" s="1"/>
  <c r="B70" s="1"/>
  <c r="B71" s="1"/>
  <c r="B72" s="1"/>
  <c r="B73" s="1"/>
  <c r="B74" s="1"/>
  <c r="B75" s="1"/>
  <c r="B76" s="1"/>
  <c r="B77" s="1"/>
  <c r="B78" s="1"/>
  <c r="B79" s="1"/>
  <c r="B80" s="1"/>
  <c r="B81" s="1"/>
  <c r="B82" s="1"/>
  <c r="B83" s="1"/>
  <c r="B84" s="1"/>
  <c r="B85" s="1"/>
  <c r="B86" s="1"/>
  <c r="B87" s="1"/>
  <c r="B88" s="1"/>
  <c r="B89" s="1"/>
  <c r="B90" s="1"/>
  <c r="B91" s="1"/>
  <c r="B92" s="1"/>
  <c r="B93" s="1"/>
  <c r="B94" s="1"/>
  <c r="B95" s="1"/>
  <c r="B96" s="1"/>
  <c r="B97" s="1"/>
  <c r="B98" s="1"/>
  <c r="B99" s="1"/>
  <c r="B100" s="1"/>
  <c r="B101" s="1"/>
  <c r="B102" s="1"/>
  <c r="B103" s="1"/>
  <c r="B104" s="1"/>
  <c r="B105" s="1"/>
  <c r="B106" s="1"/>
  <c r="B107" s="1"/>
  <c r="B108" s="1"/>
  <c r="B109" s="1"/>
  <c r="B110" s="1"/>
  <c r="B111" s="1"/>
  <c r="B112" s="1"/>
  <c r="B113" s="1"/>
  <c r="B114" s="1"/>
  <c r="B115" s="1"/>
  <c r="B116" s="1"/>
  <c r="B117" s="1"/>
  <c r="B118" s="1"/>
  <c r="B119" s="1"/>
  <c r="B120" s="1"/>
  <c r="B121" s="1"/>
  <c r="B122" s="1"/>
  <c r="B123" s="1"/>
  <c r="B124" s="1"/>
  <c r="B125" s="1"/>
  <c r="B126" s="1"/>
  <c r="B127" s="1"/>
  <c r="B128" s="1"/>
  <c r="B129" s="1"/>
  <c r="B130" s="1"/>
  <c r="B131" s="1"/>
  <c r="B132" s="1"/>
  <c r="B133" s="1"/>
  <c r="B134" s="1"/>
  <c r="B135" s="1"/>
  <c r="B136" s="1"/>
  <c r="B137" s="1"/>
  <c r="B138" s="1"/>
  <c r="B139" s="1"/>
  <c r="B140" s="1"/>
  <c r="B141" s="1"/>
  <c r="B142" s="1"/>
  <c r="B143" s="1"/>
  <c r="B144" s="1"/>
  <c r="B145" s="1"/>
  <c r="B146" s="1"/>
  <c r="B147" s="1"/>
  <c r="B148" s="1"/>
  <c r="B149" s="1"/>
  <c r="B150" s="1"/>
  <c r="B151" s="1"/>
  <c r="B152" s="1"/>
  <c r="B153" s="1"/>
  <c r="B154" s="1"/>
  <c r="B155" s="1"/>
  <c r="B156" s="1"/>
  <c r="B157" s="1"/>
  <c r="B158" s="1"/>
  <c r="B159" s="1"/>
  <c r="B160" s="1"/>
  <c r="B161" s="1"/>
  <c r="B162" s="1"/>
  <c r="B163" s="1"/>
  <c r="B164" s="1"/>
  <c r="B165" s="1"/>
  <c r="B166" s="1"/>
  <c r="B167" s="1"/>
  <c r="B168" s="1"/>
  <c r="B169" s="1"/>
  <c r="B170" s="1"/>
  <c r="B171" s="1"/>
  <c r="B172" s="1"/>
  <c r="B173" s="1"/>
  <c r="B174" s="1"/>
  <c r="B175" s="1"/>
  <c r="B176" s="1"/>
  <c r="B177" s="1"/>
  <c r="B178" s="1"/>
  <c r="B179" s="1"/>
  <c r="B180" s="1"/>
  <c r="AA22" l="1"/>
  <c r="AB22" s="1"/>
  <c r="AH22"/>
  <c r="AI22" s="1"/>
  <c r="AJ22" s="1"/>
  <c r="AK22" s="1"/>
  <c r="Y22"/>
  <c r="Z22" s="1"/>
  <c r="AD22"/>
  <c r="AE22"/>
  <c r="AO22"/>
  <c r="AA16"/>
  <c r="AB16" s="1"/>
  <c r="AH16"/>
  <c r="AI16" s="1"/>
  <c r="AJ16" s="1"/>
  <c r="AK16" s="1"/>
  <c r="Y16"/>
  <c r="Z16" s="1"/>
  <c r="AE16"/>
  <c r="AD16"/>
  <c r="AO16"/>
  <c r="AA17"/>
  <c r="AB17" s="1"/>
  <c r="Y17"/>
  <c r="Z17" s="1"/>
  <c r="AH17"/>
  <c r="AI17" s="1"/>
  <c r="AJ17" s="1"/>
  <c r="AK17" s="1"/>
  <c r="AD17"/>
  <c r="AE17"/>
  <c r="Y20"/>
  <c r="Z20" s="1"/>
  <c r="AA20"/>
  <c r="AB20" s="1"/>
  <c r="AH20"/>
  <c r="AI20" s="1"/>
  <c r="AJ20" s="1"/>
  <c r="AK20" s="1"/>
  <c r="AE20"/>
  <c r="AD20"/>
  <c r="AA21"/>
  <c r="AB21" s="1"/>
  <c r="Y21"/>
  <c r="Z21" s="1"/>
  <c r="AD21"/>
  <c r="AH21"/>
  <c r="AI21" s="1"/>
  <c r="AJ21" s="1"/>
  <c r="AK21" s="1"/>
  <c r="AE21"/>
  <c r="AA19"/>
  <c r="AB19" s="1"/>
  <c r="Y19"/>
  <c r="Z19" s="1"/>
  <c r="AD19"/>
  <c r="AH19"/>
  <c r="AI19" s="1"/>
  <c r="AJ19" s="1"/>
  <c r="AK19" s="1"/>
  <c r="AE19"/>
  <c r="AA18"/>
  <c r="AB18" s="1"/>
  <c r="Y18"/>
  <c r="Z18" s="1"/>
  <c r="AH18"/>
  <c r="AI18" s="1"/>
  <c r="AJ18" s="1"/>
  <c r="AK18" s="1"/>
  <c r="AD18"/>
  <c r="AE18"/>
  <c r="B181"/>
  <c r="B182" s="1"/>
  <c r="B183" s="1"/>
  <c r="B184" s="1"/>
  <c r="B185" s="1"/>
  <c r="B186" s="1"/>
  <c r="B187" s="1"/>
  <c r="B188" s="1"/>
  <c r="B189" s="1"/>
  <c r="B190" s="1"/>
  <c r="B191" s="1"/>
  <c r="B192" s="1"/>
  <c r="B193" s="1"/>
  <c r="B194" s="1"/>
  <c r="B195" s="1"/>
  <c r="B196" s="1"/>
  <c r="B197" s="1"/>
  <c r="B198" s="1"/>
  <c r="B199" s="1"/>
  <c r="B200" s="1"/>
  <c r="B201" s="1"/>
  <c r="B202" s="1"/>
  <c r="B203" s="1"/>
  <c r="B204" s="1"/>
  <c r="B205" s="1"/>
  <c r="D18"/>
  <c r="AO18" l="1"/>
  <c r="AL21"/>
  <c r="AM21" s="1"/>
  <c r="AN21"/>
  <c r="AL20"/>
  <c r="AM20" s="1"/>
  <c r="AN20"/>
  <c r="AL18"/>
  <c r="AM18" s="1"/>
  <c r="AN18"/>
  <c r="AO21"/>
  <c r="AL22"/>
  <c r="AM22" s="1"/>
  <c r="AN22"/>
  <c r="AL19"/>
  <c r="AM19" s="1"/>
  <c r="AN19"/>
  <c r="AL17"/>
  <c r="AM17" s="1"/>
  <c r="AN17"/>
  <c r="AL16"/>
  <c r="AM16" s="1"/>
  <c r="AN16"/>
  <c r="AO20"/>
  <c r="AO19"/>
  <c r="AO17"/>
  <c r="B206"/>
  <c r="B207" s="1"/>
  <c r="B208" s="1"/>
  <c r="B209" s="1"/>
  <c r="B210" s="1"/>
  <c r="B211" s="1"/>
  <c r="B212" s="1"/>
  <c r="B213" s="1"/>
  <c r="B214" s="1"/>
  <c r="B215" s="1"/>
  <c r="B216" s="1"/>
  <c r="B217" s="1"/>
  <c r="B218" s="1"/>
  <c r="B219" s="1"/>
  <c r="B220" s="1"/>
  <c r="B221" s="1"/>
  <c r="B222" s="1"/>
  <c r="B223" s="1"/>
  <c r="B224" s="1"/>
  <c r="B225" s="1"/>
  <c r="B226" s="1"/>
  <c r="B227" s="1"/>
  <c r="B228" s="1"/>
  <c r="B229" s="1"/>
  <c r="B230" s="1"/>
  <c r="B231" s="1"/>
  <c r="B232" s="1"/>
  <c r="B233" s="1"/>
  <c r="B234" s="1"/>
  <c r="B235" s="1"/>
  <c r="B236" s="1"/>
  <c r="B237" s="1"/>
  <c r="B238" s="1"/>
  <c r="B239" s="1"/>
  <c r="B240" s="1"/>
  <c r="B241" s="1"/>
  <c r="B242" s="1"/>
  <c r="B243" s="1"/>
  <c r="B244" s="1"/>
  <c r="B245" s="1"/>
  <c r="B246" s="1"/>
  <c r="D19"/>
  <c r="B247" l="1"/>
  <c r="B248" s="1"/>
  <c r="B249" s="1"/>
  <c r="B250" s="1"/>
  <c r="B251" s="1"/>
  <c r="B252" s="1"/>
  <c r="B253" s="1"/>
  <c r="B254" s="1"/>
  <c r="B255" s="1"/>
  <c r="B256" s="1"/>
  <c r="B257" s="1"/>
  <c r="B258" s="1"/>
  <c r="B259" s="1"/>
  <c r="D20"/>
  <c r="B260" l="1"/>
  <c r="B261" s="1"/>
  <c r="B262" s="1"/>
  <c r="B263" s="1"/>
  <c r="B264" s="1"/>
  <c r="B265" s="1"/>
  <c r="B266" s="1"/>
  <c r="B267" s="1"/>
  <c r="D21"/>
  <c r="B268" l="1"/>
  <c r="B269" s="1"/>
  <c r="D22"/>
  <c r="B270" l="1"/>
  <c r="B271" s="1"/>
  <c r="B272" s="1"/>
  <c r="B273" s="1"/>
  <c r="B274" s="1"/>
  <c r="D23"/>
  <c r="B275" l="1"/>
  <c r="B276" s="1"/>
  <c r="B277" s="1"/>
  <c r="B278" s="1"/>
  <c r="D24"/>
  <c r="B279" l="1"/>
  <c r="B280" s="1"/>
  <c r="B281" s="1"/>
  <c r="B282" s="1"/>
  <c r="B283" s="1"/>
  <c r="B284" s="1"/>
  <c r="D25"/>
  <c r="B285" l="1"/>
  <c r="B286" s="1"/>
  <c r="B287" s="1"/>
  <c r="B288" s="1"/>
  <c r="B289" s="1"/>
  <c r="D26"/>
  <c r="B290" l="1"/>
  <c r="D27"/>
  <c r="B291" l="1"/>
  <c r="B292" s="1"/>
  <c r="B293" s="1"/>
  <c r="B294" s="1"/>
  <c r="B295" s="1"/>
  <c r="B296" s="1"/>
  <c r="B297" s="1"/>
  <c r="B298" s="1"/>
  <c r="B299" s="1"/>
  <c r="B300" s="1"/>
  <c r="B301" s="1"/>
  <c r="B302" s="1"/>
  <c r="B303" s="1"/>
  <c r="B304" s="1"/>
  <c r="B305" s="1"/>
  <c r="B306" s="1"/>
  <c r="B307" s="1"/>
  <c r="D28"/>
  <c r="B308" l="1"/>
  <c r="D29"/>
  <c r="B309" l="1"/>
  <c r="D30"/>
  <c r="B310" l="1"/>
  <c r="B311" s="1"/>
  <c r="B312" s="1"/>
  <c r="B313" s="1"/>
  <c r="B314" s="1"/>
  <c r="B315" s="1"/>
  <c r="D31"/>
  <c r="B316" l="1"/>
  <c r="B317" s="1"/>
  <c r="B318" s="1"/>
  <c r="B319" s="1"/>
  <c r="B320" s="1"/>
  <c r="B321" s="1"/>
  <c r="B322" s="1"/>
  <c r="B323" s="1"/>
  <c r="B324" s="1"/>
  <c r="B325" s="1"/>
  <c r="B326" s="1"/>
  <c r="B327" s="1"/>
  <c r="B328" s="1"/>
  <c r="B329" s="1"/>
  <c r="B330" s="1"/>
  <c r="B331" s="1"/>
  <c r="B332" s="1"/>
  <c r="B333" s="1"/>
  <c r="B334" s="1"/>
  <c r="B335" s="1"/>
  <c r="B336" s="1"/>
  <c r="B337" s="1"/>
  <c r="B338" s="1"/>
  <c r="B339" s="1"/>
  <c r="B340" s="1"/>
  <c r="B341" s="1"/>
  <c r="B342" s="1"/>
  <c r="B343" s="1"/>
  <c r="B344" s="1"/>
  <c r="B345" s="1"/>
  <c r="B346" s="1"/>
  <c r="B347" s="1"/>
  <c r="B348" s="1"/>
  <c r="B349" s="1"/>
  <c r="B350" s="1"/>
  <c r="B351" s="1"/>
  <c r="B352" s="1"/>
  <c r="B353" s="1"/>
  <c r="B354" s="1"/>
  <c r="B355" s="1"/>
  <c r="B356" s="1"/>
  <c r="B357" s="1"/>
  <c r="B358" s="1"/>
  <c r="B359" s="1"/>
  <c r="B360" s="1"/>
  <c r="B361" s="1"/>
  <c r="D32"/>
  <c r="B362" l="1"/>
  <c r="D33"/>
  <c r="B363" l="1"/>
  <c r="D34"/>
  <c r="B364" l="1"/>
  <c r="D35"/>
  <c r="B365" l="1"/>
  <c r="D36"/>
  <c r="B366" l="1"/>
  <c r="D37"/>
  <c r="B367" l="1"/>
  <c r="D38"/>
  <c r="B368" l="1"/>
  <c r="D39"/>
  <c r="B369" l="1"/>
  <c r="D40"/>
  <c r="B370" l="1"/>
  <c r="D41"/>
  <c r="B371" l="1"/>
  <c r="D42"/>
  <c r="B372" l="1"/>
  <c r="D43"/>
  <c r="B373" l="1"/>
  <c r="B374" s="1"/>
  <c r="B375" s="1"/>
  <c r="B376" s="1"/>
  <c r="B377" s="1"/>
  <c r="B378" s="1"/>
  <c r="B379" s="1"/>
  <c r="B380" s="1"/>
  <c r="B381" s="1"/>
  <c r="B382" s="1"/>
  <c r="B383" s="1"/>
  <c r="B384" s="1"/>
  <c r="B385" s="1"/>
  <c r="B386" s="1"/>
  <c r="B387" s="1"/>
  <c r="B388" s="1"/>
  <c r="B389" s="1"/>
  <c r="B390" s="1"/>
  <c r="B391" s="1"/>
  <c r="B392" s="1"/>
  <c r="B393" s="1"/>
  <c r="B394" s="1"/>
  <c r="B395" s="1"/>
  <c r="B396" s="1"/>
  <c r="B397" s="1"/>
  <c r="B398" s="1"/>
  <c r="B399" s="1"/>
  <c r="B400" s="1"/>
  <c r="B401" s="1"/>
  <c r="B402" s="1"/>
  <c r="B403" s="1"/>
  <c r="B404" s="1"/>
  <c r="B405" s="1"/>
  <c r="B406" s="1"/>
  <c r="B407" s="1"/>
  <c r="B408" s="1"/>
  <c r="B409" s="1"/>
  <c r="B410" s="1"/>
  <c r="B411" s="1"/>
  <c r="B412" s="1"/>
  <c r="B413" s="1"/>
  <c r="B414" s="1"/>
  <c r="B415" s="1"/>
  <c r="B416" s="1"/>
  <c r="B417" s="1"/>
  <c r="B418" s="1"/>
  <c r="B419" s="1"/>
  <c r="B420" s="1"/>
  <c r="B421" s="1"/>
  <c r="B422" s="1"/>
  <c r="B423" s="1"/>
  <c r="B424" s="1"/>
  <c r="B425" s="1"/>
  <c r="B426" s="1"/>
  <c r="B427" s="1"/>
  <c r="B428" s="1"/>
  <c r="B429" s="1"/>
  <c r="B430" s="1"/>
  <c r="B431" s="1"/>
  <c r="B432" s="1"/>
  <c r="B433" s="1"/>
  <c r="B434" s="1"/>
  <c r="B435" s="1"/>
  <c r="B436" s="1"/>
  <c r="B437" s="1"/>
  <c r="B438" s="1"/>
  <c r="B439" s="1"/>
  <c r="B440" s="1"/>
  <c r="B441" s="1"/>
  <c r="B442" s="1"/>
  <c r="B443" s="1"/>
  <c r="B444" s="1"/>
  <c r="B445" s="1"/>
  <c r="B446" s="1"/>
  <c r="B447" s="1"/>
  <c r="B448" s="1"/>
  <c r="B449" s="1"/>
  <c r="B450" s="1"/>
  <c r="B451" s="1"/>
  <c r="B452" s="1"/>
  <c r="B453" s="1"/>
  <c r="B454" s="1"/>
  <c r="B455" s="1"/>
  <c r="B456" s="1"/>
  <c r="B457" s="1"/>
  <c r="B458" s="1"/>
  <c r="B459" s="1"/>
  <c r="B460" s="1"/>
  <c r="B461" s="1"/>
  <c r="B462" s="1"/>
  <c r="B463" s="1"/>
  <c r="B464" s="1"/>
  <c r="B465" s="1"/>
  <c r="B466" s="1"/>
  <c r="B467" s="1"/>
  <c r="B468" s="1"/>
  <c r="B469" s="1"/>
  <c r="B470" s="1"/>
  <c r="B471" s="1"/>
  <c r="B472" s="1"/>
  <c r="B473" s="1"/>
  <c r="B474" s="1"/>
  <c r="B475" s="1"/>
  <c r="B476" s="1"/>
  <c r="B477" s="1"/>
  <c r="B478" s="1"/>
  <c r="B479" s="1"/>
  <c r="B480" s="1"/>
  <c r="B481" s="1"/>
  <c r="B482" s="1"/>
  <c r="B483" s="1"/>
  <c r="B484" s="1"/>
  <c r="B485" s="1"/>
  <c r="B486" s="1"/>
  <c r="B487" s="1"/>
  <c r="B488" s="1"/>
  <c r="B489" s="1"/>
  <c r="B490" s="1"/>
  <c r="B491" s="1"/>
  <c r="B492" s="1"/>
  <c r="B493" s="1"/>
  <c r="B494" s="1"/>
  <c r="B495" s="1"/>
  <c r="B496" s="1"/>
  <c r="B497" s="1"/>
  <c r="B498" s="1"/>
  <c r="B499" s="1"/>
  <c r="B500" s="1"/>
  <c r="D44"/>
  <c r="D45" l="1"/>
  <c r="D46" l="1"/>
  <c r="D47" l="1"/>
  <c r="D48" l="1"/>
  <c r="D49" l="1"/>
  <c r="D50" l="1"/>
  <c r="D51" l="1"/>
  <c r="D52" l="1"/>
  <c r="D53" l="1"/>
  <c r="D54" l="1"/>
  <c r="D55" l="1"/>
  <c r="D56" l="1"/>
  <c r="D57" l="1"/>
  <c r="D58" l="1"/>
  <c r="D59" l="1"/>
  <c r="D60" l="1"/>
  <c r="D61" l="1"/>
  <c r="D62" l="1"/>
  <c r="D63" l="1"/>
  <c r="D64" l="1"/>
  <c r="D65" l="1"/>
  <c r="D66" l="1"/>
  <c r="D67" l="1"/>
  <c r="D68" l="1"/>
  <c r="D69" l="1"/>
  <c r="D70" l="1"/>
  <c r="D71" l="1"/>
  <c r="D72" l="1"/>
  <c r="D73" l="1"/>
  <c r="D74" l="1"/>
  <c r="D75" l="1"/>
  <c r="D76" l="1"/>
  <c r="D77" l="1"/>
  <c r="D78" l="1"/>
  <c r="D79" l="1"/>
  <c r="D80" l="1"/>
  <c r="D81" l="1"/>
  <c r="D82" l="1"/>
  <c r="D83" l="1"/>
  <c r="D84" l="1"/>
  <c r="D85" l="1"/>
  <c r="D86" l="1"/>
  <c r="D87" l="1"/>
  <c r="D88" l="1"/>
  <c r="D89" l="1"/>
  <c r="D90" l="1"/>
  <c r="D91" l="1"/>
  <c r="D92" l="1"/>
  <c r="D93" l="1"/>
  <c r="D94" l="1"/>
  <c r="D95" l="1"/>
  <c r="D96" l="1"/>
  <c r="D97" l="1"/>
  <c r="D98" l="1"/>
  <c r="D99" l="1"/>
  <c r="D100" l="1"/>
  <c r="D101" l="1"/>
  <c r="D102" l="1"/>
  <c r="D103" l="1"/>
  <c r="D104" l="1"/>
  <c r="D105" l="1"/>
  <c r="D106" l="1"/>
  <c r="D107" l="1"/>
  <c r="D108" l="1"/>
  <c r="D109" l="1"/>
  <c r="D110" l="1"/>
  <c r="D111" l="1"/>
  <c r="D112" l="1"/>
  <c r="D113" l="1"/>
  <c r="D114" l="1"/>
  <c r="D115" l="1"/>
  <c r="D116" l="1"/>
  <c r="D117" l="1"/>
  <c r="D118" l="1"/>
  <c r="D119" l="1"/>
  <c r="D120" l="1"/>
  <c r="D121" l="1"/>
  <c r="D122" l="1"/>
  <c r="D123" l="1"/>
  <c r="D124" l="1"/>
  <c r="D125" l="1"/>
  <c r="D126" l="1"/>
  <c r="D127" l="1"/>
  <c r="D128" l="1"/>
  <c r="D129" l="1"/>
  <c r="D130" l="1"/>
  <c r="D131" l="1"/>
  <c r="D132" l="1"/>
  <c r="D133" l="1"/>
  <c r="D134" l="1"/>
  <c r="D135" l="1"/>
  <c r="D136" l="1"/>
  <c r="D137" l="1"/>
  <c r="D138" l="1"/>
  <c r="D139" l="1"/>
  <c r="D140" l="1"/>
  <c r="D141" l="1"/>
  <c r="D142" l="1"/>
  <c r="D143" l="1"/>
  <c r="D144" l="1"/>
  <c r="D145" l="1"/>
  <c r="D146" l="1"/>
  <c r="D147" l="1"/>
  <c r="D148" l="1"/>
  <c r="D149" l="1"/>
  <c r="D150" l="1"/>
  <c r="D151" l="1"/>
  <c r="D152" l="1"/>
  <c r="D153" l="1"/>
  <c r="D154" l="1"/>
  <c r="D155" l="1"/>
  <c r="D156" l="1"/>
  <c r="D157" l="1"/>
  <c r="D158" l="1"/>
  <c r="D159" l="1"/>
  <c r="D160" l="1"/>
  <c r="D161" l="1"/>
  <c r="D162" l="1"/>
  <c r="D163" l="1"/>
  <c r="D164" l="1"/>
  <c r="D165" l="1"/>
  <c r="D166" l="1"/>
  <c r="D167" l="1"/>
  <c r="D168" l="1"/>
  <c r="D169" l="1"/>
  <c r="D170" l="1"/>
  <c r="D171" l="1"/>
  <c r="D172" l="1"/>
  <c r="D173" l="1"/>
  <c r="D174" l="1"/>
  <c r="D175" l="1"/>
  <c r="D176" l="1"/>
  <c r="D177" l="1"/>
  <c r="D178" l="1"/>
  <c r="D179" l="1"/>
  <c r="D180" l="1"/>
  <c r="D181" l="1"/>
  <c r="D182" l="1"/>
  <c r="D183" l="1"/>
  <c r="D184" l="1"/>
  <c r="D185" l="1"/>
  <c r="D186" l="1"/>
  <c r="D187" l="1"/>
  <c r="D188" l="1"/>
  <c r="D189" l="1"/>
  <c r="D190" l="1"/>
  <c r="D191" l="1"/>
  <c r="D192" l="1"/>
  <c r="D193" l="1"/>
  <c r="D194" l="1"/>
  <c r="D195" l="1"/>
  <c r="D196" l="1"/>
  <c r="D197" l="1"/>
  <c r="D198" l="1"/>
  <c r="D199" l="1"/>
  <c r="D200" l="1"/>
  <c r="D201" l="1"/>
  <c r="D202" l="1"/>
  <c r="D203" l="1"/>
  <c r="D204" l="1"/>
  <c r="D205" l="1"/>
  <c r="D206" l="1"/>
  <c r="D207" l="1"/>
  <c r="D208" l="1"/>
  <c r="D209" l="1"/>
  <c r="D210" l="1"/>
  <c r="D211" l="1"/>
  <c r="D212" l="1"/>
  <c r="D213" l="1"/>
  <c r="D214" l="1"/>
  <c r="D215" l="1"/>
  <c r="D216" l="1"/>
  <c r="D217" l="1"/>
  <c r="D218" l="1"/>
  <c r="D219" l="1"/>
  <c r="D220" l="1"/>
  <c r="D221" l="1"/>
  <c r="D222" l="1"/>
  <c r="D223" l="1"/>
  <c r="D224" l="1"/>
  <c r="D225" l="1"/>
  <c r="D226" l="1"/>
  <c r="D227" l="1"/>
  <c r="D228" l="1"/>
  <c r="D229" l="1"/>
  <c r="D230" l="1"/>
  <c r="D231" l="1"/>
  <c r="D232" l="1"/>
  <c r="D233" l="1"/>
  <c r="D234" l="1"/>
  <c r="D235" l="1"/>
  <c r="D236" l="1"/>
  <c r="D237" l="1"/>
  <c r="D238" l="1"/>
  <c r="D239" l="1"/>
  <c r="D240" l="1"/>
  <c r="D241" l="1"/>
  <c r="D242" l="1"/>
  <c r="D243" l="1"/>
  <c r="D244" l="1"/>
  <c r="D245" l="1"/>
  <c r="D246" l="1"/>
  <c r="D247" l="1"/>
  <c r="D248" l="1"/>
  <c r="D249" l="1"/>
  <c r="D250" l="1"/>
  <c r="D251" l="1"/>
  <c r="D252" l="1"/>
  <c r="D253" l="1"/>
  <c r="D254" l="1"/>
  <c r="D255" l="1"/>
  <c r="D256" l="1"/>
  <c r="D257" l="1"/>
  <c r="D258" l="1"/>
  <c r="D259" l="1"/>
  <c r="D260" l="1"/>
  <c r="D261" l="1"/>
  <c r="D262" l="1"/>
  <c r="D263" l="1"/>
  <c r="D264" l="1"/>
  <c r="D265" l="1"/>
  <c r="D266" l="1"/>
  <c r="D267" l="1"/>
  <c r="D268" l="1"/>
  <c r="D269" l="1"/>
  <c r="D270" l="1"/>
  <c r="D271" l="1"/>
  <c r="D272" l="1"/>
  <c r="D273" l="1"/>
  <c r="D274" l="1"/>
  <c r="D275" l="1"/>
  <c r="D276" l="1"/>
  <c r="D277" l="1"/>
  <c r="D278" l="1"/>
  <c r="D279" l="1"/>
  <c r="D280" l="1"/>
  <c r="D281" l="1"/>
  <c r="D282" l="1"/>
  <c r="D283" l="1"/>
  <c r="D284" l="1"/>
  <c r="D285" l="1"/>
  <c r="D286" l="1"/>
  <c r="D287" l="1"/>
  <c r="D288" l="1"/>
  <c r="D289" l="1"/>
  <c r="D290" l="1"/>
  <c r="D291" l="1"/>
  <c r="D292" l="1"/>
  <c r="D293" l="1"/>
  <c r="D294" l="1"/>
  <c r="D295" l="1"/>
  <c r="D296" l="1"/>
  <c r="D297" l="1"/>
  <c r="D298" l="1"/>
  <c r="D299" l="1"/>
  <c r="D300" l="1"/>
  <c r="D301" l="1"/>
  <c r="D302" l="1"/>
  <c r="D303" l="1"/>
  <c r="D304" l="1"/>
  <c r="D305" l="1"/>
  <c r="D306" l="1"/>
  <c r="D307" l="1"/>
  <c r="D308" l="1"/>
  <c r="D309" l="1"/>
  <c r="D310" l="1"/>
  <c r="D311" l="1"/>
  <c r="D312" l="1"/>
  <c r="D313" l="1"/>
  <c r="D314" l="1"/>
  <c r="D315" l="1"/>
  <c r="D316" l="1"/>
  <c r="D317" l="1"/>
  <c r="D318" l="1"/>
  <c r="D319" l="1"/>
  <c r="D320" l="1"/>
  <c r="D321" l="1"/>
  <c r="D322" l="1"/>
  <c r="D323" l="1"/>
  <c r="D324" l="1"/>
  <c r="D325" l="1"/>
  <c r="D326" l="1"/>
  <c r="D327" l="1"/>
  <c r="D328" l="1"/>
  <c r="D329" l="1"/>
  <c r="D330" l="1"/>
  <c r="D331" l="1"/>
  <c r="D332" l="1"/>
  <c r="D333" l="1"/>
  <c r="D334" l="1"/>
  <c r="D335" l="1"/>
  <c r="D336" l="1"/>
  <c r="D337" l="1"/>
  <c r="D338" l="1"/>
  <c r="D339" l="1"/>
  <c r="D340" l="1"/>
  <c r="D341" l="1"/>
  <c r="D342" l="1"/>
  <c r="D343" l="1"/>
  <c r="D344" l="1"/>
  <c r="D345" l="1"/>
  <c r="D346" l="1"/>
  <c r="D347" l="1"/>
  <c r="D348" l="1"/>
  <c r="D349" l="1"/>
  <c r="D350" l="1"/>
  <c r="D351" l="1"/>
  <c r="D352" l="1"/>
  <c r="D353" l="1"/>
  <c r="D354" l="1"/>
  <c r="D355" l="1"/>
  <c r="D356" l="1"/>
  <c r="D357" l="1"/>
  <c r="D358" l="1"/>
  <c r="D359" l="1"/>
  <c r="D360" l="1"/>
  <c r="AC15" l="1"/>
  <c r="D361"/>
  <c r="D362" l="1"/>
  <c r="AD8" l="1"/>
  <c r="AD9"/>
  <c r="AD10"/>
  <c r="D363"/>
  <c r="D364" l="1"/>
  <c r="D365" l="1"/>
  <c r="AE8" l="1"/>
  <c r="D366"/>
  <c r="D367" l="1"/>
  <c r="D368" l="1"/>
  <c r="AE9" l="1"/>
  <c r="D369"/>
  <c r="D370" l="1"/>
  <c r="D371" l="1"/>
  <c r="AE10" l="1"/>
  <c r="D372"/>
  <c r="D373" l="1"/>
  <c r="D374" l="1"/>
  <c r="D375" l="1"/>
  <c r="D376" l="1"/>
  <c r="D377" l="1"/>
  <c r="D378" l="1"/>
  <c r="D379" l="1"/>
  <c r="V15"/>
  <c r="W15" s="1"/>
  <c r="X15" s="1"/>
  <c r="AD15" s="1"/>
  <c r="AG15"/>
  <c r="AF15" l="1"/>
  <c r="AE15"/>
  <c r="AA15"/>
  <c r="AB15" s="1"/>
  <c r="AH15"/>
  <c r="AO15" s="1"/>
  <c r="Y15"/>
  <c r="Z15" s="1"/>
  <c r="AI15" l="1"/>
  <c r="AJ15" s="1"/>
  <c r="AK15" s="1"/>
  <c r="AL15" l="1"/>
  <c r="AM15" s="1"/>
  <c r="O17"/>
  <c r="AD7" l="1"/>
  <c r="AE7" l="1"/>
</calcChain>
</file>

<file path=xl/comments1.xml><?xml version="1.0" encoding="utf-8"?>
<comments xmlns="http://schemas.openxmlformats.org/spreadsheetml/2006/main">
  <authors>
    <author>Neil Huth</author>
  </authors>
  <commentList>
    <comment ref="D14" authorId="0">
      <text>
        <r>
          <rPr>
            <b/>
            <sz val="8"/>
            <color indexed="81"/>
            <rFont val="Tahoma"/>
            <family val="2"/>
          </rPr>
          <t>Neil Huth:</t>
        </r>
        <r>
          <rPr>
            <sz val="8"/>
            <color indexed="81"/>
            <rFont val="Tahoma"/>
            <family val="2"/>
          </rPr>
          <t xml:space="preserve">
Quirk!
Need date column here also for vlookup function</t>
        </r>
      </text>
    </comment>
  </commentList>
</comments>
</file>

<file path=xl/sharedStrings.xml><?xml version="1.0" encoding="utf-8"?>
<sst xmlns="http://schemas.openxmlformats.org/spreadsheetml/2006/main" count="547" uniqueCount="63">
  <si>
    <t>year</t>
  </si>
  <si>
    <t>doy</t>
  </si>
  <si>
    <t>maxt</t>
  </si>
  <si>
    <t>mint</t>
  </si>
  <si>
    <t>TT</t>
  </si>
  <si>
    <t>T</t>
  </si>
  <si>
    <t>CumTT</t>
  </si>
  <si>
    <t>PP</t>
  </si>
  <si>
    <t>Lat</t>
  </si>
  <si>
    <t>Date</t>
  </si>
  <si>
    <t>Sowing</t>
  </si>
  <si>
    <t>Germ</t>
  </si>
  <si>
    <t>Emerg</t>
  </si>
  <si>
    <t>GermTT</t>
  </si>
  <si>
    <t>EmergTT</t>
  </si>
  <si>
    <t>EJTT</t>
  </si>
  <si>
    <t>TT Emerg to EJ</t>
  </si>
  <si>
    <t>Date2</t>
  </si>
  <si>
    <t>EJ</t>
  </si>
  <si>
    <t>Flowering</t>
  </si>
  <si>
    <t>AnthTT</t>
  </si>
  <si>
    <t>FLN</t>
  </si>
  <si>
    <t>LeafAppRate1</t>
  </si>
  <si>
    <t>LeafAppRate2</t>
  </si>
  <si>
    <t>LeafAppRateChange</t>
  </si>
  <si>
    <t>LeafNoEmerg</t>
  </si>
  <si>
    <t>LeafInitRate</t>
  </si>
  <si>
    <t>G2FITT</t>
  </si>
  <si>
    <t>LeafNoSeed</t>
  </si>
  <si>
    <t>FITT</t>
  </si>
  <si>
    <t>FI</t>
  </si>
  <si>
    <t>EJ2FITT</t>
  </si>
  <si>
    <t>ShootLag</t>
  </si>
  <si>
    <t>ShootRate</t>
  </si>
  <si>
    <t>sowingDepth</t>
  </si>
  <si>
    <t>TT Germ to Emerg</t>
  </si>
  <si>
    <t>Samanko</t>
  </si>
  <si>
    <t>biomass</t>
  </si>
  <si>
    <t>yield</t>
  </si>
  <si>
    <t>FloweringDAS</t>
  </si>
  <si>
    <t>MaturityDAS</t>
  </si>
  <si>
    <t>height</t>
  </si>
  <si>
    <t>LAI</t>
  </si>
  <si>
    <t>LeafNo</t>
  </si>
  <si>
    <t>Stage</t>
  </si>
  <si>
    <t>*</t>
  </si>
  <si>
    <t>TTFlagToFlower</t>
  </si>
  <si>
    <t>E2FlagTT</t>
  </si>
  <si>
    <t>PP@EJ</t>
  </si>
  <si>
    <t>Cultivar</t>
  </si>
  <si>
    <t>CSM63</t>
  </si>
  <si>
    <t>slope</t>
  </si>
  <si>
    <t>FlagDAS</t>
  </si>
  <si>
    <t>Flag</t>
  </si>
  <si>
    <t>FlagTT</t>
  </si>
  <si>
    <t>Flag2AnthTT</t>
  </si>
  <si>
    <t>EmergDAS</t>
  </si>
  <si>
    <t>OBS</t>
  </si>
  <si>
    <t>PRE</t>
  </si>
  <si>
    <t>SowingDOY</t>
  </si>
  <si>
    <t>Phyllochron</t>
  </si>
  <si>
    <t>E2AnthTT</t>
  </si>
  <si>
    <t>GH_5009</t>
  </si>
</sst>
</file>

<file path=xl/styles.xml><?xml version="1.0" encoding="utf-8"?>
<styleSheet xmlns="http://schemas.openxmlformats.org/spreadsheetml/2006/main">
  <numFmts count="1">
    <numFmt numFmtId="164" formatCode="[$-C09]dd\-mmm\-yy;@"/>
  </numFmts>
  <fonts count="5">
    <font>
      <sz val="10"/>
      <name val="Arial"/>
    </font>
    <font>
      <sz val="8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u/>
      <sz val="10"/>
      <color theme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14">
    <xf numFmtId="0" fontId="0" fillId="0" borderId="0" xfId="0"/>
    <xf numFmtId="15" fontId="0" fillId="0" borderId="0" xfId="0" applyNumberFormat="1"/>
    <xf numFmtId="0" fontId="0" fillId="2" borderId="0" xfId="0" applyFill="1"/>
    <xf numFmtId="14" fontId="0" fillId="0" borderId="0" xfId="0" applyNumberFormat="1"/>
    <xf numFmtId="0" fontId="4" fillId="0" borderId="0" xfId="1" applyAlignment="1" applyProtection="1"/>
    <xf numFmtId="0" fontId="0" fillId="3" borderId="0" xfId="0" applyFill="1"/>
    <xf numFmtId="14" fontId="0" fillId="3" borderId="0" xfId="0" applyNumberFormat="1" applyFill="1"/>
    <xf numFmtId="2" fontId="0" fillId="3" borderId="0" xfId="0" applyNumberFormat="1" applyFill="1"/>
    <xf numFmtId="15" fontId="0" fillId="3" borderId="0" xfId="0" applyNumberFormat="1" applyFill="1"/>
    <xf numFmtId="164" fontId="0" fillId="3" borderId="0" xfId="0" applyNumberFormat="1" applyFill="1"/>
    <xf numFmtId="2" fontId="0" fillId="4" borderId="0" xfId="0" applyNumberFormat="1" applyFill="1"/>
    <xf numFmtId="0" fontId="0" fillId="5" borderId="0" xfId="0" applyFill="1"/>
    <xf numFmtId="1" fontId="0" fillId="3" borderId="0" xfId="0" applyNumberFormat="1" applyFill="1"/>
    <xf numFmtId="2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autoTitleDeleted val="1"/>
    <c:plotArea>
      <c:layout/>
      <c:scatterChart>
        <c:scatterStyle val="lineMarker"/>
        <c:ser>
          <c:idx val="0"/>
          <c:order val="0"/>
          <c:tx>
            <c:strRef>
              <c:f>'CSM63'!$N$15</c:f>
              <c:strCache>
                <c:ptCount val="1"/>
                <c:pt idx="0">
                  <c:v>GH_5009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chemeClr val="accent1"/>
              </a:solidFill>
            </c:spPr>
          </c:marker>
          <c:xVal>
            <c:numRef>
              <c:f>'CSM63'!$AM$15:$AM$22</c:f>
              <c:numCache>
                <c:formatCode>0.00</c:formatCode>
                <c:ptCount val="8"/>
                <c:pt idx="0">
                  <c:v>15.495819091796875</c:v>
                </c:pt>
                <c:pt idx="1">
                  <c:v>15.263559341430664</c:v>
                </c:pt>
                <c:pt idx="2">
                  <c:v>15.80424690246582</c:v>
                </c:pt>
                <c:pt idx="3">
                  <c:v>15.532522201538086</c:v>
                </c:pt>
                <c:pt idx="4">
                  <c:v>16.168184280395508</c:v>
                </c:pt>
                <c:pt idx="5">
                  <c:v>15.263712882995605</c:v>
                </c:pt>
                <c:pt idx="6">
                  <c:v>15.298031806945801</c:v>
                </c:pt>
                <c:pt idx="7">
                  <c:v>15.362142562866211</c:v>
                </c:pt>
              </c:numCache>
            </c:numRef>
          </c:xVal>
          <c:yVal>
            <c:numRef>
              <c:f>'CSM63'!$AN$15:$AN$22</c:f>
              <c:numCache>
                <c:formatCode>0.00</c:formatCode>
                <c:ptCount val="8"/>
                <c:pt idx="0">
                  <c:v>370.65631097793585</c:v>
                </c:pt>
                <c:pt idx="1">
                  <c:v>258.59617208480813</c:v>
                </c:pt>
                <c:pt idx="2">
                  <c:v>262.72425922393813</c:v>
                </c:pt>
                <c:pt idx="3">
                  <c:v>262.71312345504748</c:v>
                </c:pt>
                <c:pt idx="4">
                  <c:v>268.95155128479018</c:v>
                </c:pt>
                <c:pt idx="5">
                  <c:v>253.96394390106161</c:v>
                </c:pt>
                <c:pt idx="6">
                  <c:v>276.02277187347408</c:v>
                </c:pt>
                <c:pt idx="7">
                  <c:v>272.93016103744503</c:v>
                </c:pt>
              </c:numCache>
            </c:numRef>
          </c:yVal>
        </c:ser>
        <c:ser>
          <c:idx val="1"/>
          <c:order val="1"/>
          <c:tx>
            <c:strRef>
              <c:f>'CSM63'!$N$18</c:f>
              <c:strCache>
                <c:ptCount val="1"/>
                <c:pt idx="0">
                  <c:v>GH_5009</c:v>
                </c:pt>
              </c:strCache>
            </c:strRef>
          </c:tx>
          <c:spPr>
            <a:ln w="28575">
              <a:noFill/>
            </a:ln>
          </c:spPr>
          <c:xVal>
            <c:numRef>
              <c:f>'CSM63'!$AM$18:$AM$20</c:f>
              <c:numCache>
                <c:formatCode>0.00</c:formatCode>
                <c:ptCount val="3"/>
                <c:pt idx="0">
                  <c:v>15.532522201538086</c:v>
                </c:pt>
                <c:pt idx="1">
                  <c:v>16.168184280395508</c:v>
                </c:pt>
                <c:pt idx="2">
                  <c:v>15.263712882995605</c:v>
                </c:pt>
              </c:numCache>
            </c:numRef>
          </c:xVal>
          <c:yVal>
            <c:numRef>
              <c:f>'CSM63'!$AN$18:$AN$20</c:f>
              <c:numCache>
                <c:formatCode>0.00</c:formatCode>
                <c:ptCount val="3"/>
                <c:pt idx="0">
                  <c:v>262.71312345504748</c:v>
                </c:pt>
                <c:pt idx="1">
                  <c:v>268.95155128479018</c:v>
                </c:pt>
                <c:pt idx="2">
                  <c:v>253.96394390106161</c:v>
                </c:pt>
              </c:numCache>
            </c:numRef>
          </c:yVal>
        </c:ser>
        <c:ser>
          <c:idx val="2"/>
          <c:order val="2"/>
          <c:tx>
            <c:strRef>
              <c:f>'CSM63'!$N$21</c:f>
              <c:strCache>
                <c:ptCount val="1"/>
                <c:pt idx="0">
                  <c:v>GH_5009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7"/>
          </c:marker>
          <c:xVal>
            <c:numRef>
              <c:f>'CSM63'!$AM$21:$AM$23</c:f>
              <c:numCache>
                <c:formatCode>0.00</c:formatCode>
                <c:ptCount val="3"/>
                <c:pt idx="0">
                  <c:v>15.298031806945801</c:v>
                </c:pt>
                <c:pt idx="1">
                  <c:v>15.362142562866211</c:v>
                </c:pt>
              </c:numCache>
            </c:numRef>
          </c:xVal>
          <c:yVal>
            <c:numRef>
              <c:f>'CSM63'!$AN$21:$AN$23</c:f>
              <c:numCache>
                <c:formatCode>0.00</c:formatCode>
                <c:ptCount val="3"/>
                <c:pt idx="0">
                  <c:v>276.02277187347408</c:v>
                </c:pt>
                <c:pt idx="1">
                  <c:v>272.93016103744503</c:v>
                </c:pt>
              </c:numCache>
            </c:numRef>
          </c:yVal>
        </c:ser>
        <c:ser>
          <c:idx val="3"/>
          <c:order val="3"/>
          <c:tx>
            <c:strRef>
              <c:f>'CSM63'!$N$24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circle"/>
            <c:size val="7"/>
          </c:marker>
          <c:xVal>
            <c:numRef>
              <c:f>'CSM63'!$AM$24:$AM$26</c:f>
              <c:numCache>
                <c:formatCode>General</c:formatCode>
                <c:ptCount val="3"/>
              </c:numCache>
            </c:numRef>
          </c:xVal>
          <c:yVal>
            <c:numRef>
              <c:f>'CSM63'!$AN$24:$AN$26</c:f>
              <c:numCache>
                <c:formatCode>General</c:formatCode>
                <c:ptCount val="3"/>
              </c:numCache>
            </c:numRef>
          </c:yVal>
        </c:ser>
        <c:ser>
          <c:idx val="4"/>
          <c:order val="4"/>
          <c:spPr>
            <a:ln w="285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'CSM63'!$AM$5:$AM$8</c:f>
              <c:numCache>
                <c:formatCode>General</c:formatCode>
                <c:ptCount val="4"/>
                <c:pt idx="0">
                  <c:v>0</c:v>
                </c:pt>
                <c:pt idx="1">
                  <c:v>12.5</c:v>
                </c:pt>
                <c:pt idx="2">
                  <c:v>24</c:v>
                </c:pt>
                <c:pt idx="3">
                  <c:v>24</c:v>
                </c:pt>
              </c:numCache>
            </c:numRef>
          </c:xVal>
          <c:yVal>
            <c:numRef>
              <c:f>'CSM63'!$AN$5:$AN$8</c:f>
              <c:numCache>
                <c:formatCode>General</c:formatCode>
                <c:ptCount val="4"/>
                <c:pt idx="0">
                  <c:v>110</c:v>
                </c:pt>
                <c:pt idx="1">
                  <c:v>110</c:v>
                </c:pt>
                <c:pt idx="2">
                  <c:v>2410</c:v>
                </c:pt>
                <c:pt idx="3">
                  <c:v>2410</c:v>
                </c:pt>
              </c:numCache>
            </c:numRef>
          </c:yVal>
        </c:ser>
        <c:ser>
          <c:idx val="5"/>
          <c:order val="5"/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'CSM63'!$AQ$5:$AQ$8</c:f>
              <c:numCache>
                <c:formatCode>General</c:formatCode>
                <c:ptCount val="4"/>
              </c:numCache>
            </c:numRef>
          </c:xVal>
          <c:yVal>
            <c:numRef>
              <c:f>'CSM63'!$AR$5:$AR$8</c:f>
              <c:numCache>
                <c:formatCode>General</c:formatCode>
                <c:ptCount val="4"/>
              </c:numCache>
            </c:numRef>
          </c:yVal>
        </c:ser>
        <c:ser>
          <c:idx val="6"/>
          <c:order val="6"/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'CSM63'!$AS$5:$AS$8</c:f>
              <c:numCache>
                <c:formatCode>General</c:formatCode>
                <c:ptCount val="4"/>
              </c:numCache>
            </c:numRef>
          </c:xVal>
          <c:yVal>
            <c:numRef>
              <c:f>'CSM63'!$AT$5:$AT$8</c:f>
              <c:numCache>
                <c:formatCode>General</c:formatCode>
                <c:ptCount val="4"/>
              </c:numCache>
            </c:numRef>
          </c:yVal>
        </c:ser>
        <c:ser>
          <c:idx val="7"/>
          <c:order val="7"/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'CSM63'!$AU$5:$AU$8</c:f>
              <c:numCache>
                <c:formatCode>General</c:formatCode>
                <c:ptCount val="4"/>
              </c:numCache>
            </c:numRef>
          </c:xVal>
          <c:yVal>
            <c:numRef>
              <c:f>'CSM63'!$AV$5:$AV$8</c:f>
              <c:numCache>
                <c:formatCode>General</c:formatCode>
                <c:ptCount val="4"/>
              </c:numCache>
            </c:numRef>
          </c:yVal>
        </c:ser>
        <c:axId val="118803072"/>
        <c:axId val="126624128"/>
      </c:scatterChart>
      <c:valAx>
        <c:axId val="118803072"/>
        <c:scaling>
          <c:orientation val="minMax"/>
          <c:max val="16"/>
          <c:min val="11"/>
        </c:scaling>
        <c:axPos val="b"/>
        <c:numFmt formatCode="0.00" sourceLinked="1"/>
        <c:tickLblPos val="nextTo"/>
        <c:crossAx val="126624128"/>
        <c:crosses val="autoZero"/>
        <c:crossBetween val="midCat"/>
      </c:valAx>
      <c:valAx>
        <c:axId val="126624128"/>
        <c:scaling>
          <c:orientation val="minMax"/>
          <c:max val="600"/>
        </c:scaling>
        <c:axPos val="l"/>
        <c:majorGridlines/>
        <c:numFmt formatCode="0.00" sourceLinked="1"/>
        <c:tickLblPos val="nextTo"/>
        <c:crossAx val="118803072"/>
        <c:crosses val="autoZero"/>
        <c:crossBetween val="midCat"/>
      </c:valAx>
    </c:plotArea>
    <c:legend>
      <c:legendPos val="r"/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ayout/>
    </c:legend>
    <c:plotVisOnly val="1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title/>
    <c:plotArea>
      <c:layout/>
      <c:scatterChart>
        <c:scatterStyle val="lineMarker"/>
        <c:ser>
          <c:idx val="0"/>
          <c:order val="0"/>
          <c:tx>
            <c:strRef>
              <c:f>'CSM63'!$BF$4</c:f>
              <c:strCache>
                <c:ptCount val="1"/>
                <c:pt idx="0">
                  <c:v>LeafNo</c:v>
                </c:pt>
              </c:strCache>
            </c:strRef>
          </c:tx>
          <c:spPr>
            <a:ln w="28575">
              <a:noFill/>
            </a:ln>
          </c:spPr>
          <c:xVal>
            <c:numRef>
              <c:f>'CSM63'!$AY$5:$AY$29</c:f>
              <c:numCache>
                <c:formatCode>d/mm/yyyy</c:formatCode>
                <c:ptCount val="25"/>
                <c:pt idx="0">
                  <c:v>41464</c:v>
                </c:pt>
                <c:pt idx="1">
                  <c:v>41474</c:v>
                </c:pt>
                <c:pt idx="2">
                  <c:v>41484</c:v>
                </c:pt>
                <c:pt idx="3">
                  <c:v>41492</c:v>
                </c:pt>
                <c:pt idx="4">
                  <c:v>41498</c:v>
                </c:pt>
                <c:pt idx="5">
                  <c:v>41506</c:v>
                </c:pt>
                <c:pt idx="6">
                  <c:v>41508</c:v>
                </c:pt>
                <c:pt idx="7">
                  <c:v>41519</c:v>
                </c:pt>
                <c:pt idx="8">
                  <c:v>41537</c:v>
                </c:pt>
                <c:pt idx="9">
                  <c:v>41402</c:v>
                </c:pt>
                <c:pt idx="10">
                  <c:v>41501</c:v>
                </c:pt>
                <c:pt idx="11">
                  <c:v>41511</c:v>
                </c:pt>
                <c:pt idx="12">
                  <c:v>41515</c:v>
                </c:pt>
                <c:pt idx="13">
                  <c:v>41526</c:v>
                </c:pt>
                <c:pt idx="14">
                  <c:v>41527</c:v>
                </c:pt>
                <c:pt idx="15">
                  <c:v>41540</c:v>
                </c:pt>
                <c:pt idx="16">
                  <c:v>41556</c:v>
                </c:pt>
                <c:pt idx="17">
                  <c:v>41373</c:v>
                </c:pt>
                <c:pt idx="18">
                  <c:v>41531</c:v>
                </c:pt>
                <c:pt idx="19">
                  <c:v>41537</c:v>
                </c:pt>
                <c:pt idx="20">
                  <c:v>41541</c:v>
                </c:pt>
                <c:pt idx="21">
                  <c:v>41550</c:v>
                </c:pt>
                <c:pt idx="22">
                  <c:v>41551</c:v>
                </c:pt>
                <c:pt idx="23">
                  <c:v>41561</c:v>
                </c:pt>
                <c:pt idx="24">
                  <c:v>41576</c:v>
                </c:pt>
              </c:numCache>
            </c:numRef>
          </c:xVal>
          <c:yVal>
            <c:numRef>
              <c:f>'CSM63'!$BF$5:$BF$12</c:f>
              <c:numCache>
                <c:formatCode>General</c:formatCode>
                <c:ptCount val="8"/>
                <c:pt idx="0">
                  <c:v>9.1</c:v>
                </c:pt>
                <c:pt idx="1">
                  <c:v>11.6</c:v>
                </c:pt>
                <c:pt idx="2">
                  <c:v>13.1</c:v>
                </c:pt>
                <c:pt idx="4">
                  <c:v>15.1</c:v>
                </c:pt>
                <c:pt idx="6">
                  <c:v>17.3</c:v>
                </c:pt>
                <c:pt idx="7">
                  <c:v>17.375</c:v>
                </c:pt>
              </c:numCache>
            </c:numRef>
          </c:yVal>
        </c:ser>
        <c:axId val="126943616"/>
        <c:axId val="126945152"/>
      </c:scatterChart>
      <c:valAx>
        <c:axId val="126943616"/>
        <c:scaling>
          <c:orientation val="minMax"/>
        </c:scaling>
        <c:axPos val="b"/>
        <c:numFmt formatCode="d/mm/yyyy" sourceLinked="1"/>
        <c:tickLblPos val="nextTo"/>
        <c:crossAx val="126945152"/>
        <c:crosses val="autoZero"/>
        <c:crossBetween val="midCat"/>
      </c:valAx>
      <c:valAx>
        <c:axId val="126945152"/>
        <c:scaling>
          <c:orientation val="minMax"/>
        </c:scaling>
        <c:axPos val="l"/>
        <c:majorGridlines/>
        <c:numFmt formatCode="General" sourceLinked="1"/>
        <c:tickLblPos val="nextTo"/>
        <c:crossAx val="126943616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/>
      <c:scatterChart>
        <c:scatterStyle val="lineMarker"/>
        <c:ser>
          <c:idx val="0"/>
          <c:order val="0"/>
          <c:tx>
            <c:strRef>
              <c:f>'CSM63'!$C$14</c:f>
              <c:strCache>
                <c:ptCount val="1"/>
                <c:pt idx="0">
                  <c:v>PP</c:v>
                </c:pt>
              </c:strCache>
            </c:strRef>
          </c:tx>
          <c:marker>
            <c:symbol val="none"/>
          </c:marker>
          <c:xVal>
            <c:numRef>
              <c:f>'CSM63'!$A$15:$A$379</c:f>
              <c:numCache>
                <c:formatCode>d\-mmm\-yy</c:formatCode>
                <c:ptCount val="365"/>
                <c:pt idx="0">
                  <c:v>33239</c:v>
                </c:pt>
                <c:pt idx="1">
                  <c:v>33240</c:v>
                </c:pt>
                <c:pt idx="2">
                  <c:v>33241</c:v>
                </c:pt>
                <c:pt idx="3">
                  <c:v>33242</c:v>
                </c:pt>
                <c:pt idx="4">
                  <c:v>33243</c:v>
                </c:pt>
                <c:pt idx="5">
                  <c:v>33244</c:v>
                </c:pt>
                <c:pt idx="6">
                  <c:v>33245</c:v>
                </c:pt>
                <c:pt idx="7">
                  <c:v>33246</c:v>
                </c:pt>
                <c:pt idx="8">
                  <c:v>33247</c:v>
                </c:pt>
                <c:pt idx="9">
                  <c:v>33248</c:v>
                </c:pt>
                <c:pt idx="10">
                  <c:v>33249</c:v>
                </c:pt>
                <c:pt idx="11">
                  <c:v>33250</c:v>
                </c:pt>
                <c:pt idx="12">
                  <c:v>33251</c:v>
                </c:pt>
                <c:pt idx="13">
                  <c:v>33252</c:v>
                </c:pt>
                <c:pt idx="14">
                  <c:v>33253</c:v>
                </c:pt>
                <c:pt idx="15">
                  <c:v>33254</c:v>
                </c:pt>
                <c:pt idx="16">
                  <c:v>33255</c:v>
                </c:pt>
                <c:pt idx="17">
                  <c:v>33256</c:v>
                </c:pt>
                <c:pt idx="18">
                  <c:v>33257</c:v>
                </c:pt>
                <c:pt idx="19">
                  <c:v>33258</c:v>
                </c:pt>
                <c:pt idx="20">
                  <c:v>33259</c:v>
                </c:pt>
                <c:pt idx="21">
                  <c:v>33260</c:v>
                </c:pt>
                <c:pt idx="22">
                  <c:v>33261</c:v>
                </c:pt>
                <c:pt idx="23">
                  <c:v>33262</c:v>
                </c:pt>
                <c:pt idx="24">
                  <c:v>33263</c:v>
                </c:pt>
                <c:pt idx="25">
                  <c:v>33264</c:v>
                </c:pt>
                <c:pt idx="26">
                  <c:v>33265</c:v>
                </c:pt>
                <c:pt idx="27">
                  <c:v>33266</c:v>
                </c:pt>
                <c:pt idx="28">
                  <c:v>33267</c:v>
                </c:pt>
                <c:pt idx="29">
                  <c:v>33268</c:v>
                </c:pt>
                <c:pt idx="30">
                  <c:v>33269</c:v>
                </c:pt>
                <c:pt idx="31">
                  <c:v>33270</c:v>
                </c:pt>
                <c:pt idx="32">
                  <c:v>33271</c:v>
                </c:pt>
                <c:pt idx="33">
                  <c:v>33272</c:v>
                </c:pt>
                <c:pt idx="34">
                  <c:v>33273</c:v>
                </c:pt>
                <c:pt idx="35">
                  <c:v>33274</c:v>
                </c:pt>
                <c:pt idx="36">
                  <c:v>33275</c:v>
                </c:pt>
                <c:pt idx="37">
                  <c:v>33276</c:v>
                </c:pt>
                <c:pt idx="38">
                  <c:v>33277</c:v>
                </c:pt>
                <c:pt idx="39">
                  <c:v>33278</c:v>
                </c:pt>
                <c:pt idx="40">
                  <c:v>33279</c:v>
                </c:pt>
                <c:pt idx="41">
                  <c:v>33280</c:v>
                </c:pt>
                <c:pt idx="42">
                  <c:v>33281</c:v>
                </c:pt>
                <c:pt idx="43">
                  <c:v>33282</c:v>
                </c:pt>
                <c:pt idx="44">
                  <c:v>33283</c:v>
                </c:pt>
                <c:pt idx="45">
                  <c:v>33284</c:v>
                </c:pt>
                <c:pt idx="46">
                  <c:v>33285</c:v>
                </c:pt>
                <c:pt idx="47">
                  <c:v>33286</c:v>
                </c:pt>
                <c:pt idx="48">
                  <c:v>33287</c:v>
                </c:pt>
                <c:pt idx="49">
                  <c:v>33288</c:v>
                </c:pt>
                <c:pt idx="50">
                  <c:v>33289</c:v>
                </c:pt>
                <c:pt idx="51">
                  <c:v>33290</c:v>
                </c:pt>
                <c:pt idx="52">
                  <c:v>33291</c:v>
                </c:pt>
                <c:pt idx="53">
                  <c:v>33292</c:v>
                </c:pt>
                <c:pt idx="54">
                  <c:v>33293</c:v>
                </c:pt>
                <c:pt idx="55">
                  <c:v>33294</c:v>
                </c:pt>
                <c:pt idx="56">
                  <c:v>33295</c:v>
                </c:pt>
                <c:pt idx="57">
                  <c:v>33296</c:v>
                </c:pt>
                <c:pt idx="58">
                  <c:v>33297</c:v>
                </c:pt>
                <c:pt idx="59">
                  <c:v>33298</c:v>
                </c:pt>
                <c:pt idx="60">
                  <c:v>33299</c:v>
                </c:pt>
                <c:pt idx="61">
                  <c:v>33300</c:v>
                </c:pt>
                <c:pt idx="62">
                  <c:v>33301</c:v>
                </c:pt>
                <c:pt idx="63">
                  <c:v>33302</c:v>
                </c:pt>
                <c:pt idx="64">
                  <c:v>33303</c:v>
                </c:pt>
                <c:pt idx="65">
                  <c:v>33304</c:v>
                </c:pt>
                <c:pt idx="66">
                  <c:v>33305</c:v>
                </c:pt>
                <c:pt idx="67">
                  <c:v>33306</c:v>
                </c:pt>
                <c:pt idx="68">
                  <c:v>33307</c:v>
                </c:pt>
                <c:pt idx="69">
                  <c:v>33308</c:v>
                </c:pt>
                <c:pt idx="70">
                  <c:v>33309</c:v>
                </c:pt>
                <c:pt idx="71">
                  <c:v>33310</c:v>
                </c:pt>
                <c:pt idx="72">
                  <c:v>33311</c:v>
                </c:pt>
                <c:pt idx="73">
                  <c:v>33312</c:v>
                </c:pt>
                <c:pt idx="74">
                  <c:v>33313</c:v>
                </c:pt>
                <c:pt idx="75">
                  <c:v>33314</c:v>
                </c:pt>
                <c:pt idx="76">
                  <c:v>33315</c:v>
                </c:pt>
                <c:pt idx="77">
                  <c:v>33316</c:v>
                </c:pt>
                <c:pt idx="78">
                  <c:v>33317</c:v>
                </c:pt>
                <c:pt idx="79">
                  <c:v>33318</c:v>
                </c:pt>
                <c:pt idx="80">
                  <c:v>33319</c:v>
                </c:pt>
                <c:pt idx="81">
                  <c:v>33320</c:v>
                </c:pt>
                <c:pt idx="82">
                  <c:v>33321</c:v>
                </c:pt>
                <c:pt idx="83">
                  <c:v>33322</c:v>
                </c:pt>
                <c:pt idx="84">
                  <c:v>33323</c:v>
                </c:pt>
                <c:pt idx="85">
                  <c:v>33324</c:v>
                </c:pt>
                <c:pt idx="86">
                  <c:v>33325</c:v>
                </c:pt>
                <c:pt idx="87">
                  <c:v>33326</c:v>
                </c:pt>
                <c:pt idx="88">
                  <c:v>33327</c:v>
                </c:pt>
                <c:pt idx="89">
                  <c:v>33328</c:v>
                </c:pt>
                <c:pt idx="90">
                  <c:v>33329</c:v>
                </c:pt>
                <c:pt idx="91">
                  <c:v>33330</c:v>
                </c:pt>
                <c:pt idx="92">
                  <c:v>33331</c:v>
                </c:pt>
                <c:pt idx="93">
                  <c:v>33332</c:v>
                </c:pt>
                <c:pt idx="94">
                  <c:v>33333</c:v>
                </c:pt>
                <c:pt idx="95">
                  <c:v>33334</c:v>
                </c:pt>
                <c:pt idx="96">
                  <c:v>33335</c:v>
                </c:pt>
                <c:pt idx="97">
                  <c:v>33336</c:v>
                </c:pt>
                <c:pt idx="98">
                  <c:v>33337</c:v>
                </c:pt>
                <c:pt idx="99">
                  <c:v>33338</c:v>
                </c:pt>
                <c:pt idx="100">
                  <c:v>33339</c:v>
                </c:pt>
                <c:pt idx="101">
                  <c:v>33340</c:v>
                </c:pt>
                <c:pt idx="102">
                  <c:v>33341</c:v>
                </c:pt>
                <c:pt idx="103">
                  <c:v>33342</c:v>
                </c:pt>
                <c:pt idx="104">
                  <c:v>33343</c:v>
                </c:pt>
                <c:pt idx="105">
                  <c:v>33344</c:v>
                </c:pt>
                <c:pt idx="106">
                  <c:v>33345</c:v>
                </c:pt>
                <c:pt idx="107">
                  <c:v>33346</c:v>
                </c:pt>
                <c:pt idx="108">
                  <c:v>33347</c:v>
                </c:pt>
                <c:pt idx="109">
                  <c:v>33348</c:v>
                </c:pt>
                <c:pt idx="110">
                  <c:v>33349</c:v>
                </c:pt>
                <c:pt idx="111">
                  <c:v>33350</c:v>
                </c:pt>
                <c:pt idx="112">
                  <c:v>33351</c:v>
                </c:pt>
                <c:pt idx="113">
                  <c:v>33352</c:v>
                </c:pt>
                <c:pt idx="114">
                  <c:v>33353</c:v>
                </c:pt>
                <c:pt idx="115">
                  <c:v>33354</c:v>
                </c:pt>
                <c:pt idx="116">
                  <c:v>33355</c:v>
                </c:pt>
                <c:pt idx="117">
                  <c:v>33356</c:v>
                </c:pt>
                <c:pt idx="118">
                  <c:v>33357</c:v>
                </c:pt>
                <c:pt idx="119">
                  <c:v>33358</c:v>
                </c:pt>
                <c:pt idx="120">
                  <c:v>33359</c:v>
                </c:pt>
                <c:pt idx="121">
                  <c:v>33360</c:v>
                </c:pt>
                <c:pt idx="122">
                  <c:v>33361</c:v>
                </c:pt>
                <c:pt idx="123">
                  <c:v>33362</c:v>
                </c:pt>
                <c:pt idx="124">
                  <c:v>33363</c:v>
                </c:pt>
                <c:pt idx="125">
                  <c:v>33364</c:v>
                </c:pt>
                <c:pt idx="126">
                  <c:v>33365</c:v>
                </c:pt>
                <c:pt idx="127">
                  <c:v>33366</c:v>
                </c:pt>
                <c:pt idx="128">
                  <c:v>33367</c:v>
                </c:pt>
                <c:pt idx="129">
                  <c:v>33368</c:v>
                </c:pt>
                <c:pt idx="130">
                  <c:v>33369</c:v>
                </c:pt>
                <c:pt idx="131">
                  <c:v>33370</c:v>
                </c:pt>
                <c:pt idx="132">
                  <c:v>33371</c:v>
                </c:pt>
                <c:pt idx="133">
                  <c:v>33372</c:v>
                </c:pt>
                <c:pt idx="134">
                  <c:v>33373</c:v>
                </c:pt>
                <c:pt idx="135">
                  <c:v>33374</c:v>
                </c:pt>
                <c:pt idx="136">
                  <c:v>33375</c:v>
                </c:pt>
                <c:pt idx="137">
                  <c:v>33376</c:v>
                </c:pt>
                <c:pt idx="138">
                  <c:v>33377</c:v>
                </c:pt>
                <c:pt idx="139">
                  <c:v>33378</c:v>
                </c:pt>
                <c:pt idx="140">
                  <c:v>33379</c:v>
                </c:pt>
                <c:pt idx="141">
                  <c:v>33380</c:v>
                </c:pt>
                <c:pt idx="142">
                  <c:v>33381</c:v>
                </c:pt>
                <c:pt idx="143">
                  <c:v>33382</c:v>
                </c:pt>
                <c:pt idx="144">
                  <c:v>33383</c:v>
                </c:pt>
                <c:pt idx="145">
                  <c:v>33384</c:v>
                </c:pt>
                <c:pt idx="146">
                  <c:v>33385</c:v>
                </c:pt>
                <c:pt idx="147">
                  <c:v>33386</c:v>
                </c:pt>
                <c:pt idx="148">
                  <c:v>33387</c:v>
                </c:pt>
                <c:pt idx="149">
                  <c:v>33388</c:v>
                </c:pt>
                <c:pt idx="150">
                  <c:v>33389</c:v>
                </c:pt>
                <c:pt idx="151">
                  <c:v>33390</c:v>
                </c:pt>
                <c:pt idx="152">
                  <c:v>33391</c:v>
                </c:pt>
                <c:pt idx="153">
                  <c:v>33392</c:v>
                </c:pt>
                <c:pt idx="154">
                  <c:v>33393</c:v>
                </c:pt>
                <c:pt idx="155">
                  <c:v>33394</c:v>
                </c:pt>
                <c:pt idx="156">
                  <c:v>33395</c:v>
                </c:pt>
                <c:pt idx="157">
                  <c:v>33396</c:v>
                </c:pt>
                <c:pt idx="158">
                  <c:v>33397</c:v>
                </c:pt>
                <c:pt idx="159">
                  <c:v>33398</c:v>
                </c:pt>
                <c:pt idx="160">
                  <c:v>33399</c:v>
                </c:pt>
                <c:pt idx="161">
                  <c:v>33400</c:v>
                </c:pt>
                <c:pt idx="162">
                  <c:v>33401</c:v>
                </c:pt>
                <c:pt idx="163">
                  <c:v>33402</c:v>
                </c:pt>
                <c:pt idx="164">
                  <c:v>33403</c:v>
                </c:pt>
                <c:pt idx="165">
                  <c:v>33404</c:v>
                </c:pt>
                <c:pt idx="166">
                  <c:v>33405</c:v>
                </c:pt>
                <c:pt idx="167">
                  <c:v>33406</c:v>
                </c:pt>
                <c:pt idx="168">
                  <c:v>33407</c:v>
                </c:pt>
                <c:pt idx="169">
                  <c:v>33408</c:v>
                </c:pt>
                <c:pt idx="170">
                  <c:v>33409</c:v>
                </c:pt>
                <c:pt idx="171">
                  <c:v>33410</c:v>
                </c:pt>
                <c:pt idx="172">
                  <c:v>33411</c:v>
                </c:pt>
                <c:pt idx="173">
                  <c:v>33412</c:v>
                </c:pt>
                <c:pt idx="174">
                  <c:v>33413</c:v>
                </c:pt>
                <c:pt idx="175">
                  <c:v>33414</c:v>
                </c:pt>
                <c:pt idx="176">
                  <c:v>33415</c:v>
                </c:pt>
                <c:pt idx="177">
                  <c:v>33416</c:v>
                </c:pt>
                <c:pt idx="178">
                  <c:v>33417</c:v>
                </c:pt>
                <c:pt idx="179">
                  <c:v>33418</c:v>
                </c:pt>
                <c:pt idx="180">
                  <c:v>33419</c:v>
                </c:pt>
                <c:pt idx="181">
                  <c:v>33420</c:v>
                </c:pt>
                <c:pt idx="182">
                  <c:v>33421</c:v>
                </c:pt>
                <c:pt idx="183">
                  <c:v>33422</c:v>
                </c:pt>
                <c:pt idx="184">
                  <c:v>33423</c:v>
                </c:pt>
                <c:pt idx="185">
                  <c:v>33424</c:v>
                </c:pt>
                <c:pt idx="186">
                  <c:v>33425</c:v>
                </c:pt>
                <c:pt idx="187">
                  <c:v>33426</c:v>
                </c:pt>
                <c:pt idx="188">
                  <c:v>33427</c:v>
                </c:pt>
                <c:pt idx="189">
                  <c:v>33428</c:v>
                </c:pt>
                <c:pt idx="190">
                  <c:v>33429</c:v>
                </c:pt>
                <c:pt idx="191">
                  <c:v>33430</c:v>
                </c:pt>
                <c:pt idx="192">
                  <c:v>33431</c:v>
                </c:pt>
                <c:pt idx="193">
                  <c:v>33432</c:v>
                </c:pt>
                <c:pt idx="194">
                  <c:v>33433</c:v>
                </c:pt>
                <c:pt idx="195">
                  <c:v>33434</c:v>
                </c:pt>
                <c:pt idx="196">
                  <c:v>33435</c:v>
                </c:pt>
                <c:pt idx="197">
                  <c:v>33436</c:v>
                </c:pt>
                <c:pt idx="198">
                  <c:v>33437</c:v>
                </c:pt>
                <c:pt idx="199">
                  <c:v>33438</c:v>
                </c:pt>
                <c:pt idx="200">
                  <c:v>33439</c:v>
                </c:pt>
                <c:pt idx="201">
                  <c:v>33440</c:v>
                </c:pt>
                <c:pt idx="202">
                  <c:v>33441</c:v>
                </c:pt>
                <c:pt idx="203">
                  <c:v>33442</c:v>
                </c:pt>
                <c:pt idx="204">
                  <c:v>33443</c:v>
                </c:pt>
                <c:pt idx="205">
                  <c:v>33444</c:v>
                </c:pt>
                <c:pt idx="206">
                  <c:v>33445</c:v>
                </c:pt>
                <c:pt idx="207">
                  <c:v>33446</c:v>
                </c:pt>
                <c:pt idx="208">
                  <c:v>33447</c:v>
                </c:pt>
                <c:pt idx="209">
                  <c:v>33448</c:v>
                </c:pt>
                <c:pt idx="210">
                  <c:v>33449</c:v>
                </c:pt>
                <c:pt idx="211">
                  <c:v>33450</c:v>
                </c:pt>
                <c:pt idx="212">
                  <c:v>33451</c:v>
                </c:pt>
                <c:pt idx="213">
                  <c:v>33452</c:v>
                </c:pt>
                <c:pt idx="214">
                  <c:v>33453</c:v>
                </c:pt>
                <c:pt idx="215">
                  <c:v>33454</c:v>
                </c:pt>
                <c:pt idx="216">
                  <c:v>33455</c:v>
                </c:pt>
                <c:pt idx="217">
                  <c:v>33456</c:v>
                </c:pt>
                <c:pt idx="218">
                  <c:v>33457</c:v>
                </c:pt>
                <c:pt idx="219">
                  <c:v>33458</c:v>
                </c:pt>
                <c:pt idx="220">
                  <c:v>33459</c:v>
                </c:pt>
                <c:pt idx="221">
                  <c:v>33460</c:v>
                </c:pt>
                <c:pt idx="222">
                  <c:v>33461</c:v>
                </c:pt>
                <c:pt idx="223">
                  <c:v>33462</c:v>
                </c:pt>
                <c:pt idx="224">
                  <c:v>33463</c:v>
                </c:pt>
                <c:pt idx="225">
                  <c:v>33464</c:v>
                </c:pt>
                <c:pt idx="226">
                  <c:v>33465</c:v>
                </c:pt>
                <c:pt idx="227">
                  <c:v>33466</c:v>
                </c:pt>
                <c:pt idx="228">
                  <c:v>33467</c:v>
                </c:pt>
                <c:pt idx="229">
                  <c:v>33468</c:v>
                </c:pt>
                <c:pt idx="230">
                  <c:v>33469</c:v>
                </c:pt>
                <c:pt idx="231">
                  <c:v>33470</c:v>
                </c:pt>
                <c:pt idx="232">
                  <c:v>33471</c:v>
                </c:pt>
                <c:pt idx="233">
                  <c:v>33472</c:v>
                </c:pt>
                <c:pt idx="234">
                  <c:v>33473</c:v>
                </c:pt>
                <c:pt idx="235">
                  <c:v>33474</c:v>
                </c:pt>
                <c:pt idx="236">
                  <c:v>33475</c:v>
                </c:pt>
                <c:pt idx="237">
                  <c:v>33476</c:v>
                </c:pt>
                <c:pt idx="238">
                  <c:v>33477</c:v>
                </c:pt>
                <c:pt idx="239">
                  <c:v>33478</c:v>
                </c:pt>
                <c:pt idx="240">
                  <c:v>33479</c:v>
                </c:pt>
                <c:pt idx="241">
                  <c:v>33480</c:v>
                </c:pt>
                <c:pt idx="242">
                  <c:v>33481</c:v>
                </c:pt>
                <c:pt idx="243">
                  <c:v>33482</c:v>
                </c:pt>
                <c:pt idx="244">
                  <c:v>33483</c:v>
                </c:pt>
                <c:pt idx="245">
                  <c:v>33484</c:v>
                </c:pt>
                <c:pt idx="246">
                  <c:v>33485</c:v>
                </c:pt>
                <c:pt idx="247">
                  <c:v>33486</c:v>
                </c:pt>
                <c:pt idx="248">
                  <c:v>33487</c:v>
                </c:pt>
                <c:pt idx="249">
                  <c:v>33488</c:v>
                </c:pt>
                <c:pt idx="250">
                  <c:v>33489</c:v>
                </c:pt>
                <c:pt idx="251">
                  <c:v>33490</c:v>
                </c:pt>
                <c:pt idx="252">
                  <c:v>33491</c:v>
                </c:pt>
                <c:pt idx="253">
                  <c:v>33492</c:v>
                </c:pt>
                <c:pt idx="254">
                  <c:v>33493</c:v>
                </c:pt>
                <c:pt idx="255">
                  <c:v>33494</c:v>
                </c:pt>
                <c:pt idx="256">
                  <c:v>33495</c:v>
                </c:pt>
                <c:pt idx="257">
                  <c:v>33496</c:v>
                </c:pt>
                <c:pt idx="258">
                  <c:v>33497</c:v>
                </c:pt>
                <c:pt idx="259">
                  <c:v>33498</c:v>
                </c:pt>
                <c:pt idx="260">
                  <c:v>33499</c:v>
                </c:pt>
                <c:pt idx="261">
                  <c:v>33500</c:v>
                </c:pt>
                <c:pt idx="262">
                  <c:v>33501</c:v>
                </c:pt>
                <c:pt idx="263">
                  <c:v>33502</c:v>
                </c:pt>
                <c:pt idx="264">
                  <c:v>33503</c:v>
                </c:pt>
                <c:pt idx="265">
                  <c:v>33504</c:v>
                </c:pt>
                <c:pt idx="266">
                  <c:v>33505</c:v>
                </c:pt>
                <c:pt idx="267">
                  <c:v>33506</c:v>
                </c:pt>
                <c:pt idx="268">
                  <c:v>33507</c:v>
                </c:pt>
                <c:pt idx="269">
                  <c:v>33508</c:v>
                </c:pt>
                <c:pt idx="270">
                  <c:v>33509</c:v>
                </c:pt>
                <c:pt idx="271">
                  <c:v>33510</c:v>
                </c:pt>
                <c:pt idx="272">
                  <c:v>33511</c:v>
                </c:pt>
                <c:pt idx="273">
                  <c:v>33512</c:v>
                </c:pt>
                <c:pt idx="274">
                  <c:v>33513</c:v>
                </c:pt>
                <c:pt idx="275">
                  <c:v>33514</c:v>
                </c:pt>
                <c:pt idx="276">
                  <c:v>33515</c:v>
                </c:pt>
                <c:pt idx="277">
                  <c:v>33516</c:v>
                </c:pt>
                <c:pt idx="278">
                  <c:v>33517</c:v>
                </c:pt>
                <c:pt idx="279">
                  <c:v>33518</c:v>
                </c:pt>
                <c:pt idx="280">
                  <c:v>33519</c:v>
                </c:pt>
                <c:pt idx="281">
                  <c:v>33520</c:v>
                </c:pt>
                <c:pt idx="282">
                  <c:v>33521</c:v>
                </c:pt>
                <c:pt idx="283">
                  <c:v>33522</c:v>
                </c:pt>
                <c:pt idx="284">
                  <c:v>33523</c:v>
                </c:pt>
                <c:pt idx="285">
                  <c:v>33524</c:v>
                </c:pt>
                <c:pt idx="286">
                  <c:v>33525</c:v>
                </c:pt>
                <c:pt idx="287">
                  <c:v>33526</c:v>
                </c:pt>
                <c:pt idx="288">
                  <c:v>33527</c:v>
                </c:pt>
                <c:pt idx="289">
                  <c:v>33528</c:v>
                </c:pt>
                <c:pt idx="290">
                  <c:v>33529</c:v>
                </c:pt>
                <c:pt idx="291">
                  <c:v>33530</c:v>
                </c:pt>
                <c:pt idx="292">
                  <c:v>33531</c:v>
                </c:pt>
                <c:pt idx="293">
                  <c:v>33532</c:v>
                </c:pt>
                <c:pt idx="294">
                  <c:v>33533</c:v>
                </c:pt>
                <c:pt idx="295">
                  <c:v>33534</c:v>
                </c:pt>
                <c:pt idx="296">
                  <c:v>33535</c:v>
                </c:pt>
                <c:pt idx="297">
                  <c:v>33536</c:v>
                </c:pt>
                <c:pt idx="298">
                  <c:v>33537</c:v>
                </c:pt>
                <c:pt idx="299">
                  <c:v>33538</c:v>
                </c:pt>
                <c:pt idx="300">
                  <c:v>33539</c:v>
                </c:pt>
                <c:pt idx="301">
                  <c:v>33540</c:v>
                </c:pt>
                <c:pt idx="302">
                  <c:v>33541</c:v>
                </c:pt>
                <c:pt idx="303">
                  <c:v>33542</c:v>
                </c:pt>
                <c:pt idx="304">
                  <c:v>33543</c:v>
                </c:pt>
                <c:pt idx="305">
                  <c:v>33544</c:v>
                </c:pt>
                <c:pt idx="306">
                  <c:v>33545</c:v>
                </c:pt>
                <c:pt idx="307">
                  <c:v>33546</c:v>
                </c:pt>
                <c:pt idx="308">
                  <c:v>33547</c:v>
                </c:pt>
                <c:pt idx="309">
                  <c:v>33548</c:v>
                </c:pt>
                <c:pt idx="310">
                  <c:v>33549</c:v>
                </c:pt>
                <c:pt idx="311">
                  <c:v>33550</c:v>
                </c:pt>
                <c:pt idx="312">
                  <c:v>33551</c:v>
                </c:pt>
                <c:pt idx="313">
                  <c:v>33552</c:v>
                </c:pt>
                <c:pt idx="314">
                  <c:v>33553</c:v>
                </c:pt>
                <c:pt idx="315">
                  <c:v>33554</c:v>
                </c:pt>
                <c:pt idx="316">
                  <c:v>33555</c:v>
                </c:pt>
                <c:pt idx="317">
                  <c:v>33556</c:v>
                </c:pt>
                <c:pt idx="318">
                  <c:v>33557</c:v>
                </c:pt>
                <c:pt idx="319">
                  <c:v>33558</c:v>
                </c:pt>
                <c:pt idx="320">
                  <c:v>33559</c:v>
                </c:pt>
                <c:pt idx="321">
                  <c:v>33560</c:v>
                </c:pt>
                <c:pt idx="322">
                  <c:v>33561</c:v>
                </c:pt>
                <c:pt idx="323">
                  <c:v>33562</c:v>
                </c:pt>
                <c:pt idx="324">
                  <c:v>33563</c:v>
                </c:pt>
                <c:pt idx="325">
                  <c:v>33564</c:v>
                </c:pt>
                <c:pt idx="326">
                  <c:v>33565</c:v>
                </c:pt>
                <c:pt idx="327">
                  <c:v>33566</c:v>
                </c:pt>
                <c:pt idx="328">
                  <c:v>33567</c:v>
                </c:pt>
                <c:pt idx="329">
                  <c:v>33568</c:v>
                </c:pt>
                <c:pt idx="330">
                  <c:v>33569</c:v>
                </c:pt>
                <c:pt idx="331">
                  <c:v>33570</c:v>
                </c:pt>
                <c:pt idx="332">
                  <c:v>33571</c:v>
                </c:pt>
                <c:pt idx="333">
                  <c:v>33572</c:v>
                </c:pt>
                <c:pt idx="334">
                  <c:v>33573</c:v>
                </c:pt>
                <c:pt idx="335">
                  <c:v>33574</c:v>
                </c:pt>
                <c:pt idx="336">
                  <c:v>33575</c:v>
                </c:pt>
                <c:pt idx="337">
                  <c:v>33576</c:v>
                </c:pt>
                <c:pt idx="338">
                  <c:v>33577</c:v>
                </c:pt>
                <c:pt idx="339">
                  <c:v>33578</c:v>
                </c:pt>
                <c:pt idx="340">
                  <c:v>33579</c:v>
                </c:pt>
                <c:pt idx="341">
                  <c:v>33580</c:v>
                </c:pt>
                <c:pt idx="342">
                  <c:v>33581</c:v>
                </c:pt>
                <c:pt idx="343">
                  <c:v>33582</c:v>
                </c:pt>
                <c:pt idx="344">
                  <c:v>33583</c:v>
                </c:pt>
                <c:pt idx="345">
                  <c:v>33584</c:v>
                </c:pt>
                <c:pt idx="346">
                  <c:v>33585</c:v>
                </c:pt>
                <c:pt idx="347">
                  <c:v>33586</c:v>
                </c:pt>
                <c:pt idx="348">
                  <c:v>33587</c:v>
                </c:pt>
                <c:pt idx="349">
                  <c:v>33588</c:v>
                </c:pt>
                <c:pt idx="350">
                  <c:v>33589</c:v>
                </c:pt>
                <c:pt idx="351">
                  <c:v>33590</c:v>
                </c:pt>
                <c:pt idx="352">
                  <c:v>33591</c:v>
                </c:pt>
                <c:pt idx="353">
                  <c:v>33592</c:v>
                </c:pt>
                <c:pt idx="354">
                  <c:v>33593</c:v>
                </c:pt>
                <c:pt idx="355">
                  <c:v>33594</c:v>
                </c:pt>
                <c:pt idx="356">
                  <c:v>33595</c:v>
                </c:pt>
                <c:pt idx="357">
                  <c:v>33596</c:v>
                </c:pt>
                <c:pt idx="358">
                  <c:v>33597</c:v>
                </c:pt>
                <c:pt idx="359">
                  <c:v>33598</c:v>
                </c:pt>
                <c:pt idx="360">
                  <c:v>33599</c:v>
                </c:pt>
                <c:pt idx="361">
                  <c:v>33600</c:v>
                </c:pt>
                <c:pt idx="362">
                  <c:v>33601</c:v>
                </c:pt>
                <c:pt idx="363">
                  <c:v>33602</c:v>
                </c:pt>
                <c:pt idx="364">
                  <c:v>33603</c:v>
                </c:pt>
              </c:numCache>
            </c:numRef>
          </c:xVal>
          <c:yVal>
            <c:numRef>
              <c:f>'CSM63'!$C$15:$C$379</c:f>
              <c:numCache>
                <c:formatCode>General</c:formatCode>
                <c:ptCount val="365"/>
                <c:pt idx="0">
                  <c:v>15.264097213745117</c:v>
                </c:pt>
                <c:pt idx="1">
                  <c:v>15.264583587646484</c:v>
                </c:pt>
                <c:pt idx="2">
                  <c:v>15.26512336730957</c:v>
                </c:pt>
                <c:pt idx="3">
                  <c:v>15.265718460083008</c:v>
                </c:pt>
                <c:pt idx="4">
                  <c:v>15.266369819641113</c:v>
                </c:pt>
                <c:pt idx="5">
                  <c:v>15.26707935333252</c:v>
                </c:pt>
                <c:pt idx="6">
                  <c:v>15.267849922180176</c:v>
                </c:pt>
                <c:pt idx="7">
                  <c:v>15.268683433532715</c:v>
                </c:pt>
                <c:pt idx="8">
                  <c:v>15.269582748413086</c:v>
                </c:pt>
                <c:pt idx="9">
                  <c:v>15.270549774169922</c:v>
                </c:pt>
                <c:pt idx="10">
                  <c:v>15.271588325500488</c:v>
                </c:pt>
                <c:pt idx="11">
                  <c:v>15.272700309753418</c:v>
                </c:pt>
                <c:pt idx="12">
                  <c:v>15.273887634277344</c:v>
                </c:pt>
                <c:pt idx="13">
                  <c:v>15.275155067443848</c:v>
                </c:pt>
                <c:pt idx="14">
                  <c:v>15.276503562927246</c:v>
                </c:pt>
                <c:pt idx="15">
                  <c:v>15.277938842773437</c:v>
                </c:pt>
                <c:pt idx="16">
                  <c:v>15.279462814331055</c:v>
                </c:pt>
                <c:pt idx="17">
                  <c:v>15.281078338623047</c:v>
                </c:pt>
                <c:pt idx="18">
                  <c:v>15.282788276672363</c:v>
                </c:pt>
                <c:pt idx="19">
                  <c:v>15.284597396850586</c:v>
                </c:pt>
                <c:pt idx="20">
                  <c:v>15.286507606506348</c:v>
                </c:pt>
                <c:pt idx="21">
                  <c:v>15.288525581359863</c:v>
                </c:pt>
                <c:pt idx="22">
                  <c:v>15.2906494140625</c:v>
                </c:pt>
                <c:pt idx="23">
                  <c:v>15.292888641357422</c:v>
                </c:pt>
                <c:pt idx="24">
                  <c:v>15.295241355895996</c:v>
                </c:pt>
                <c:pt idx="25">
                  <c:v>15.297715187072754</c:v>
                </c:pt>
                <c:pt idx="26">
                  <c:v>15.300312042236328</c:v>
                </c:pt>
                <c:pt idx="27">
                  <c:v>15.303034782409668</c:v>
                </c:pt>
                <c:pt idx="28">
                  <c:v>15.305887222290039</c:v>
                </c:pt>
                <c:pt idx="29">
                  <c:v>15.308876037597656</c:v>
                </c:pt>
                <c:pt idx="30">
                  <c:v>15.312000274658203</c:v>
                </c:pt>
                <c:pt idx="31">
                  <c:v>15.315267562866211</c:v>
                </c:pt>
                <c:pt idx="32">
                  <c:v>15.318676948547363</c:v>
                </c:pt>
                <c:pt idx="33">
                  <c:v>15.322236061096191</c:v>
                </c:pt>
                <c:pt idx="34">
                  <c:v>15.325946807861328</c:v>
                </c:pt>
                <c:pt idx="35">
                  <c:v>15.329813003540039</c:v>
                </c:pt>
                <c:pt idx="36">
                  <c:v>15.333836555480957</c:v>
                </c:pt>
                <c:pt idx="37">
                  <c:v>15.338024139404297</c:v>
                </c:pt>
                <c:pt idx="38">
                  <c:v>15.342374801635742</c:v>
                </c:pt>
                <c:pt idx="39">
                  <c:v>15.346896171569824</c:v>
                </c:pt>
                <c:pt idx="40">
                  <c:v>15.351588249206543</c:v>
                </c:pt>
                <c:pt idx="41">
                  <c:v>15.356454849243164</c:v>
                </c:pt>
                <c:pt idx="42">
                  <c:v>15.36149787902832</c:v>
                </c:pt>
                <c:pt idx="43">
                  <c:v>15.366724967956543</c:v>
                </c:pt>
                <c:pt idx="44">
                  <c:v>15.372135162353516</c:v>
                </c:pt>
                <c:pt idx="45">
                  <c:v>15.377730369567871</c:v>
                </c:pt>
                <c:pt idx="46">
                  <c:v>15.383516311645508</c:v>
                </c:pt>
                <c:pt idx="47">
                  <c:v>15.389495849609375</c:v>
                </c:pt>
                <c:pt idx="48">
                  <c:v>15.395668983459473</c:v>
                </c:pt>
                <c:pt idx="49">
                  <c:v>15.402040481567383</c:v>
                </c:pt>
                <c:pt idx="50">
                  <c:v>15.408611297607422</c:v>
                </c:pt>
                <c:pt idx="51">
                  <c:v>15.415385246276855</c:v>
                </c:pt>
                <c:pt idx="52">
                  <c:v>15.42236328125</c:v>
                </c:pt>
                <c:pt idx="53">
                  <c:v>15.429548263549805</c:v>
                </c:pt>
                <c:pt idx="54">
                  <c:v>15.436941146850586</c:v>
                </c:pt>
                <c:pt idx="55">
                  <c:v>15.444545745849609</c:v>
                </c:pt>
                <c:pt idx="56">
                  <c:v>15.452363014221191</c:v>
                </c:pt>
                <c:pt idx="57">
                  <c:v>15.460393905639648</c:v>
                </c:pt>
                <c:pt idx="58">
                  <c:v>15.46864128112793</c:v>
                </c:pt>
                <c:pt idx="59">
                  <c:v>15.477105140686035</c:v>
                </c:pt>
                <c:pt idx="60">
                  <c:v>15.485787391662598</c:v>
                </c:pt>
                <c:pt idx="61">
                  <c:v>15.49468994140625</c:v>
                </c:pt>
                <c:pt idx="62">
                  <c:v>15.503815650939941</c:v>
                </c:pt>
                <c:pt idx="63">
                  <c:v>15.513160705566406</c:v>
                </c:pt>
                <c:pt idx="64">
                  <c:v>15.522730827331543</c:v>
                </c:pt>
                <c:pt idx="65">
                  <c:v>15.532522201538086</c:v>
                </c:pt>
                <c:pt idx="66">
                  <c:v>15.542539596557617</c:v>
                </c:pt>
                <c:pt idx="67">
                  <c:v>15.552781105041504</c:v>
                </c:pt>
                <c:pt idx="68">
                  <c:v>15.563248634338379</c:v>
                </c:pt>
                <c:pt idx="69">
                  <c:v>15.573940277099609</c:v>
                </c:pt>
                <c:pt idx="70">
                  <c:v>15.584859848022461</c:v>
                </c:pt>
                <c:pt idx="71">
                  <c:v>15.596000671386719</c:v>
                </c:pt>
                <c:pt idx="72">
                  <c:v>15.607370376586914</c:v>
                </c:pt>
                <c:pt idx="73">
                  <c:v>15.618963241577148</c:v>
                </c:pt>
                <c:pt idx="74">
                  <c:v>15.630780220031738</c:v>
                </c:pt>
                <c:pt idx="75">
                  <c:v>15.642819404602051</c:v>
                </c:pt>
                <c:pt idx="76">
                  <c:v>15.655082702636719</c:v>
                </c:pt>
                <c:pt idx="77">
                  <c:v>15.667567253112793</c:v>
                </c:pt>
                <c:pt idx="78">
                  <c:v>15.680273056030273</c:v>
                </c:pt>
                <c:pt idx="79">
                  <c:v>15.693195343017578</c:v>
                </c:pt>
                <c:pt idx="80">
                  <c:v>15.706336975097656</c:v>
                </c:pt>
                <c:pt idx="81">
                  <c:v>15.719695091247559</c:v>
                </c:pt>
                <c:pt idx="82">
                  <c:v>15.733263969421387</c:v>
                </c:pt>
                <c:pt idx="83">
                  <c:v>15.74704647064209</c:v>
                </c:pt>
                <c:pt idx="84">
                  <c:v>15.761040687561035</c:v>
                </c:pt>
                <c:pt idx="85">
                  <c:v>15.775238037109375</c:v>
                </c:pt>
                <c:pt idx="86">
                  <c:v>15.789641380310059</c:v>
                </c:pt>
                <c:pt idx="87">
                  <c:v>15.80424690246582</c:v>
                </c:pt>
                <c:pt idx="88">
                  <c:v>15.819051742553711</c:v>
                </c:pt>
                <c:pt idx="89">
                  <c:v>15.834050178527832</c:v>
                </c:pt>
                <c:pt idx="90">
                  <c:v>15.8492431640625</c:v>
                </c:pt>
                <c:pt idx="91">
                  <c:v>15.864622116088867</c:v>
                </c:pt>
                <c:pt idx="92">
                  <c:v>15.880186080932617</c:v>
                </c:pt>
                <c:pt idx="93">
                  <c:v>15.895932197570801</c:v>
                </c:pt>
                <c:pt idx="94">
                  <c:v>15.911852836608887</c:v>
                </c:pt>
                <c:pt idx="95">
                  <c:v>15.927945137023926</c:v>
                </c:pt>
                <c:pt idx="96">
                  <c:v>15.944204330444336</c:v>
                </c:pt>
                <c:pt idx="97">
                  <c:v>15.960625648498535</c:v>
                </c:pt>
                <c:pt idx="98">
                  <c:v>15.977204322814941</c:v>
                </c:pt>
                <c:pt idx="99">
                  <c:v>15.99393367767334</c:v>
                </c:pt>
                <c:pt idx="100">
                  <c:v>16.010808944702148</c:v>
                </c:pt>
                <c:pt idx="101">
                  <c:v>16.027824401855469</c:v>
                </c:pt>
                <c:pt idx="102">
                  <c:v>16.044971466064453</c:v>
                </c:pt>
                <c:pt idx="103">
                  <c:v>16.062248229980469</c:v>
                </c:pt>
                <c:pt idx="104">
                  <c:v>16.079643249511719</c:v>
                </c:pt>
                <c:pt idx="105">
                  <c:v>16.09715461730957</c:v>
                </c:pt>
                <c:pt idx="106">
                  <c:v>16.114770889282227</c:v>
                </c:pt>
                <c:pt idx="107">
                  <c:v>16.132488250732422</c:v>
                </c:pt>
                <c:pt idx="108">
                  <c:v>16.150293350219727</c:v>
                </c:pt>
                <c:pt idx="109">
                  <c:v>16.168184280395508</c:v>
                </c:pt>
                <c:pt idx="110">
                  <c:v>16.186149597167969</c:v>
                </c:pt>
                <c:pt idx="111">
                  <c:v>16.204181671142578</c:v>
                </c:pt>
                <c:pt idx="112">
                  <c:v>16.222272872924805</c:v>
                </c:pt>
                <c:pt idx="113">
                  <c:v>16.240411758422852</c:v>
                </c:pt>
                <c:pt idx="114">
                  <c:v>16.258606910705566</c:v>
                </c:pt>
                <c:pt idx="115">
                  <c:v>16.276802062988281</c:v>
                </c:pt>
                <c:pt idx="116">
                  <c:v>16.295032501220703</c:v>
                </c:pt>
                <c:pt idx="117">
                  <c:v>16.313272476196289</c:v>
                </c:pt>
                <c:pt idx="118">
                  <c:v>16.331514358520508</c:v>
                </c:pt>
                <c:pt idx="119">
                  <c:v>16.349746704101562</c:v>
                </c:pt>
                <c:pt idx="120">
                  <c:v>16.367956161499023</c:v>
                </c:pt>
                <c:pt idx="121">
                  <c:v>16.386135101318359</c:v>
                </c:pt>
                <c:pt idx="122">
                  <c:v>16.404272079467773</c:v>
                </c:pt>
                <c:pt idx="123">
                  <c:v>16.422353744506836</c:v>
                </c:pt>
                <c:pt idx="124">
                  <c:v>16.44036865234375</c:v>
                </c:pt>
                <c:pt idx="125">
                  <c:v>16.458305358886719</c:v>
                </c:pt>
                <c:pt idx="126">
                  <c:v>16.476154327392578</c:v>
                </c:pt>
                <c:pt idx="127">
                  <c:v>16.493900299072266</c:v>
                </c:pt>
                <c:pt idx="128">
                  <c:v>16.511529922485352</c:v>
                </c:pt>
                <c:pt idx="129">
                  <c:v>16.529033660888672</c:v>
                </c:pt>
                <c:pt idx="130">
                  <c:v>16.546398162841797</c:v>
                </c:pt>
                <c:pt idx="131">
                  <c:v>16.563608169555664</c:v>
                </c:pt>
                <c:pt idx="132">
                  <c:v>16.580652236938477</c:v>
                </c:pt>
                <c:pt idx="133">
                  <c:v>16.597518920898437</c:v>
                </c:pt>
                <c:pt idx="134">
                  <c:v>16.614189147949219</c:v>
                </c:pt>
                <c:pt idx="135">
                  <c:v>16.630657196044922</c:v>
                </c:pt>
                <c:pt idx="136">
                  <c:v>16.646905899047852</c:v>
                </c:pt>
                <c:pt idx="137">
                  <c:v>16.662919998168945</c:v>
                </c:pt>
                <c:pt idx="138">
                  <c:v>16.678688049316406</c:v>
                </c:pt>
                <c:pt idx="139">
                  <c:v>16.694196701049805</c:v>
                </c:pt>
                <c:pt idx="140">
                  <c:v>16.709432601928711</c:v>
                </c:pt>
                <c:pt idx="141">
                  <c:v>16.724380493164062</c:v>
                </c:pt>
                <c:pt idx="142">
                  <c:v>16.739030838012695</c:v>
                </c:pt>
                <c:pt idx="143">
                  <c:v>16.753364562988281</c:v>
                </c:pt>
                <c:pt idx="144">
                  <c:v>16.767372131347656</c:v>
                </c:pt>
                <c:pt idx="145">
                  <c:v>16.781038284301758</c:v>
                </c:pt>
                <c:pt idx="146">
                  <c:v>16.794353485107422</c:v>
                </c:pt>
                <c:pt idx="147">
                  <c:v>16.807300567626953</c:v>
                </c:pt>
                <c:pt idx="148">
                  <c:v>16.819869995117188</c:v>
                </c:pt>
                <c:pt idx="149">
                  <c:v>16.832050323486328</c:v>
                </c:pt>
                <c:pt idx="150">
                  <c:v>16.843826293945313</c:v>
                </c:pt>
                <c:pt idx="151">
                  <c:v>16.855184555053711</c:v>
                </c:pt>
                <c:pt idx="152">
                  <c:v>16.866117477416992</c:v>
                </c:pt>
                <c:pt idx="153">
                  <c:v>16.876609802246094</c:v>
                </c:pt>
                <c:pt idx="154">
                  <c:v>16.886655807495117</c:v>
                </c:pt>
                <c:pt idx="155">
                  <c:v>16.896242141723633</c:v>
                </c:pt>
                <c:pt idx="156">
                  <c:v>16.905355453491211</c:v>
                </c:pt>
                <c:pt idx="157">
                  <c:v>16.913990020751953</c:v>
                </c:pt>
                <c:pt idx="158">
                  <c:v>16.922134399414063</c:v>
                </c:pt>
                <c:pt idx="159">
                  <c:v>16.929782867431641</c:v>
                </c:pt>
                <c:pt idx="160">
                  <c:v>16.936920166015625</c:v>
                </c:pt>
                <c:pt idx="161">
                  <c:v>16.943546295166016</c:v>
                </c:pt>
                <c:pt idx="162">
                  <c:v>16.949647903442383</c:v>
                </c:pt>
                <c:pt idx="163">
                  <c:v>16.955221176147461</c:v>
                </c:pt>
                <c:pt idx="164">
                  <c:v>16.960260391235352</c:v>
                </c:pt>
                <c:pt idx="165">
                  <c:v>16.964757919311523</c:v>
                </c:pt>
                <c:pt idx="166">
                  <c:v>16.968708038330078</c:v>
                </c:pt>
                <c:pt idx="167">
                  <c:v>16.97210693359375</c:v>
                </c:pt>
                <c:pt idx="168">
                  <c:v>16.974952697753906</c:v>
                </c:pt>
                <c:pt idx="169">
                  <c:v>16.977239608764648</c:v>
                </c:pt>
                <c:pt idx="170">
                  <c:v>16.978967666625977</c:v>
                </c:pt>
                <c:pt idx="171">
                  <c:v>16.980131149291992</c:v>
                </c:pt>
                <c:pt idx="172">
                  <c:v>16.980731964111328</c:v>
                </c:pt>
                <c:pt idx="173">
                  <c:v>16.980766296386719</c:v>
                </c:pt>
                <c:pt idx="174">
                  <c:v>16.980236053466797</c:v>
                </c:pt>
                <c:pt idx="175">
                  <c:v>16.979143142700195</c:v>
                </c:pt>
                <c:pt idx="176">
                  <c:v>16.977485656738281</c:v>
                </c:pt>
                <c:pt idx="177">
                  <c:v>16.975269317626953</c:v>
                </c:pt>
                <c:pt idx="178">
                  <c:v>16.972494125366211</c:v>
                </c:pt>
                <c:pt idx="179">
                  <c:v>16.96916389465332</c:v>
                </c:pt>
                <c:pt idx="180">
                  <c:v>16.965280532836914</c:v>
                </c:pt>
                <c:pt idx="181">
                  <c:v>16.960851669311523</c:v>
                </c:pt>
                <c:pt idx="182">
                  <c:v>16.955881118774414</c:v>
                </c:pt>
                <c:pt idx="183">
                  <c:v>16.950374603271484</c:v>
                </c:pt>
                <c:pt idx="184">
                  <c:v>16.944337844848633</c:v>
                </c:pt>
                <c:pt idx="185">
                  <c:v>16.937776565551758</c:v>
                </c:pt>
                <c:pt idx="186">
                  <c:v>16.930702209472656</c:v>
                </c:pt>
                <c:pt idx="187">
                  <c:v>16.923118591308594</c:v>
                </c:pt>
                <c:pt idx="188">
                  <c:v>16.915035247802734</c:v>
                </c:pt>
                <c:pt idx="189">
                  <c:v>16.906461715698242</c:v>
                </c:pt>
                <c:pt idx="190">
                  <c:v>16.897405624389648</c:v>
                </c:pt>
                <c:pt idx="191">
                  <c:v>16.887880325317383</c:v>
                </c:pt>
                <c:pt idx="192">
                  <c:v>16.877891540527344</c:v>
                </c:pt>
                <c:pt idx="193">
                  <c:v>16.867452621459961</c:v>
                </c:pt>
                <c:pt idx="194">
                  <c:v>16.856575012207031</c:v>
                </c:pt>
                <c:pt idx="195">
                  <c:v>16.845268249511719</c:v>
                </c:pt>
                <c:pt idx="196">
                  <c:v>16.83354377746582</c:v>
                </c:pt>
                <c:pt idx="197">
                  <c:v>16.821414947509766</c:v>
                </c:pt>
                <c:pt idx="198">
                  <c:v>16.808893203735352</c:v>
                </c:pt>
                <c:pt idx="199">
                  <c:v>16.795991897583008</c:v>
                </c:pt>
                <c:pt idx="200">
                  <c:v>16.782724380493164</c:v>
                </c:pt>
                <c:pt idx="201">
                  <c:v>16.769100189208984</c:v>
                </c:pt>
                <c:pt idx="202">
                  <c:v>16.755132675170898</c:v>
                </c:pt>
                <c:pt idx="203">
                  <c:v>16.740839004516602</c:v>
                </c:pt>
                <c:pt idx="204">
                  <c:v>16.726230621337891</c:v>
                </c:pt>
                <c:pt idx="205">
                  <c:v>16.71131706237793</c:v>
                </c:pt>
                <c:pt idx="206">
                  <c:v>16.696117401123047</c:v>
                </c:pt>
                <c:pt idx="207">
                  <c:v>16.680643081665039</c:v>
                </c:pt>
                <c:pt idx="208">
                  <c:v>16.66490364074707</c:v>
                </c:pt>
                <c:pt idx="209">
                  <c:v>16.648920059204102</c:v>
                </c:pt>
                <c:pt idx="210">
                  <c:v>16.632699966430664</c:v>
                </c:pt>
                <c:pt idx="211">
                  <c:v>16.616260528564453</c:v>
                </c:pt>
                <c:pt idx="212">
                  <c:v>16.599613189697266</c:v>
                </c:pt>
                <c:pt idx="213">
                  <c:v>16.582771301269531</c:v>
                </c:pt>
                <c:pt idx="214">
                  <c:v>16.56574821472168</c:v>
                </c:pt>
                <c:pt idx="215">
                  <c:v>16.548557281494141</c:v>
                </c:pt>
                <c:pt idx="216">
                  <c:v>16.531211853027344</c:v>
                </c:pt>
                <c:pt idx="217">
                  <c:v>16.513725280761719</c:v>
                </c:pt>
                <c:pt idx="218">
                  <c:v>16.496110916137695</c:v>
                </c:pt>
                <c:pt idx="219">
                  <c:v>16.478378295898437</c:v>
                </c:pt>
                <c:pt idx="220">
                  <c:v>16.460542678833008</c:v>
                </c:pt>
                <c:pt idx="221">
                  <c:v>16.442617416381836</c:v>
                </c:pt>
                <c:pt idx="222">
                  <c:v>16.42460823059082</c:v>
                </c:pt>
                <c:pt idx="223">
                  <c:v>16.406534194946289</c:v>
                </c:pt>
                <c:pt idx="224">
                  <c:v>16.388404846191406</c:v>
                </c:pt>
                <c:pt idx="225">
                  <c:v>16.370231628417969</c:v>
                </c:pt>
                <c:pt idx="226">
                  <c:v>16.352022171020508</c:v>
                </c:pt>
                <c:pt idx="227">
                  <c:v>16.333793640136719</c:v>
                </c:pt>
                <c:pt idx="228">
                  <c:v>16.315553665161133</c:v>
                </c:pt>
                <c:pt idx="229">
                  <c:v>16.297311782836914</c:v>
                </c:pt>
                <c:pt idx="230">
                  <c:v>16.279079437255859</c:v>
                </c:pt>
                <c:pt idx="231">
                  <c:v>16.260866165161133</c:v>
                </c:pt>
                <c:pt idx="232">
                  <c:v>16.242681503295898</c:v>
                </c:pt>
                <c:pt idx="233">
                  <c:v>16.224536895751953</c:v>
                </c:pt>
                <c:pt idx="234">
                  <c:v>16.206439971923828</c:v>
                </c:pt>
                <c:pt idx="235">
                  <c:v>16.188400268554688</c:v>
                </c:pt>
                <c:pt idx="236">
                  <c:v>16.170425415039063</c:v>
                </c:pt>
                <c:pt idx="237">
                  <c:v>16.152524948120117</c:v>
                </c:pt>
                <c:pt idx="238">
                  <c:v>16.134708404541016</c:v>
                </c:pt>
                <c:pt idx="239">
                  <c:v>16.116981506347656</c:v>
                </c:pt>
                <c:pt idx="240">
                  <c:v>16.09935188293457</c:v>
                </c:pt>
                <c:pt idx="241">
                  <c:v>16.081827163696289</c:v>
                </c:pt>
                <c:pt idx="242">
                  <c:v>16.064416885375977</c:v>
                </c:pt>
                <c:pt idx="243">
                  <c:v>16.047124862670898</c:v>
                </c:pt>
                <c:pt idx="244">
                  <c:v>16.029960632324219</c:v>
                </c:pt>
                <c:pt idx="245">
                  <c:v>16.012928009033203</c:v>
                </c:pt>
                <c:pt idx="246">
                  <c:v>15.996035575866699</c:v>
                </c:pt>
                <c:pt idx="247">
                  <c:v>15.979288101196289</c:v>
                </c:pt>
                <c:pt idx="248">
                  <c:v>15.962689399719238</c:v>
                </c:pt>
                <c:pt idx="249">
                  <c:v>15.946248054504395</c:v>
                </c:pt>
                <c:pt idx="250">
                  <c:v>15.929967880249023</c:v>
                </c:pt>
                <c:pt idx="251">
                  <c:v>15.913854598999023</c:v>
                </c:pt>
                <c:pt idx="252">
                  <c:v>15.89791202545166</c:v>
                </c:pt>
                <c:pt idx="253">
                  <c:v>15.882145881652832</c:v>
                </c:pt>
                <c:pt idx="254">
                  <c:v>15.866559028625488</c:v>
                </c:pt>
                <c:pt idx="255">
                  <c:v>15.851155281066895</c:v>
                </c:pt>
                <c:pt idx="256">
                  <c:v>15.835939407348633</c:v>
                </c:pt>
                <c:pt idx="257">
                  <c:v>15.820916175842285</c:v>
                </c:pt>
                <c:pt idx="258">
                  <c:v>15.806086540222168</c:v>
                </c:pt>
                <c:pt idx="259">
                  <c:v>15.791457176208496</c:v>
                </c:pt>
                <c:pt idx="260">
                  <c:v>15.77702808380127</c:v>
                </c:pt>
                <c:pt idx="261">
                  <c:v>15.762803077697754</c:v>
                </c:pt>
                <c:pt idx="262">
                  <c:v>15.748784065246582</c:v>
                </c:pt>
                <c:pt idx="263">
                  <c:v>15.734976768493652</c:v>
                </c:pt>
                <c:pt idx="264">
                  <c:v>15.721378326416016</c:v>
                </c:pt>
                <c:pt idx="265">
                  <c:v>15.70799446105957</c:v>
                </c:pt>
                <c:pt idx="266">
                  <c:v>15.694828033447266</c:v>
                </c:pt>
                <c:pt idx="267">
                  <c:v>15.681876182556152</c:v>
                </c:pt>
                <c:pt idx="268">
                  <c:v>15.669144630432129</c:v>
                </c:pt>
                <c:pt idx="269">
                  <c:v>15.656631469726563</c:v>
                </c:pt>
                <c:pt idx="270">
                  <c:v>15.644340515136719</c:v>
                </c:pt>
                <c:pt idx="271">
                  <c:v>15.632271766662598</c:v>
                </c:pt>
                <c:pt idx="272">
                  <c:v>15.620428085327148</c:v>
                </c:pt>
                <c:pt idx="273">
                  <c:v>15.608807563781738</c:v>
                </c:pt>
                <c:pt idx="274">
                  <c:v>15.597411155700684</c:v>
                </c:pt>
                <c:pt idx="275">
                  <c:v>15.586240768432617</c:v>
                </c:pt>
                <c:pt idx="276">
                  <c:v>15.57529354095459</c:v>
                </c:pt>
                <c:pt idx="277">
                  <c:v>15.564573287963867</c:v>
                </c:pt>
                <c:pt idx="278">
                  <c:v>15.554078102111816</c:v>
                </c:pt>
                <c:pt idx="279">
                  <c:v>15.543807983398438</c:v>
                </c:pt>
                <c:pt idx="280">
                  <c:v>15.53376293182373</c:v>
                </c:pt>
                <c:pt idx="281">
                  <c:v>15.523941993713379</c:v>
                </c:pt>
                <c:pt idx="282">
                  <c:v>15.514345169067383</c:v>
                </c:pt>
                <c:pt idx="283">
                  <c:v>15.504970550537109</c:v>
                </c:pt>
                <c:pt idx="284">
                  <c:v>15.495819091796875</c:v>
                </c:pt>
                <c:pt idx="285">
                  <c:v>15.486888885498047</c:v>
                </c:pt>
                <c:pt idx="286">
                  <c:v>15.478178024291992</c:v>
                </c:pt>
                <c:pt idx="287">
                  <c:v>15.469686508178711</c:v>
                </c:pt>
                <c:pt idx="288">
                  <c:v>15.461411476135254</c:v>
                </c:pt>
                <c:pt idx="289">
                  <c:v>15.453353881835938</c:v>
                </c:pt>
                <c:pt idx="290">
                  <c:v>15.445510864257813</c:v>
                </c:pt>
                <c:pt idx="291">
                  <c:v>15.437881469726563</c:v>
                </c:pt>
                <c:pt idx="292">
                  <c:v>15.430460929870605</c:v>
                </c:pt>
                <c:pt idx="293">
                  <c:v>15.423250198364258</c:v>
                </c:pt>
                <c:pt idx="294">
                  <c:v>15.416247367858887</c:v>
                </c:pt>
                <c:pt idx="295">
                  <c:v>15.40944766998291</c:v>
                </c:pt>
                <c:pt idx="296">
                  <c:v>15.402851104736328</c:v>
                </c:pt>
                <c:pt idx="297">
                  <c:v>15.396455764770508</c:v>
                </c:pt>
                <c:pt idx="298">
                  <c:v>15.390257835388184</c:v>
                </c:pt>
                <c:pt idx="299">
                  <c:v>15.384254455566406</c:v>
                </c:pt>
                <c:pt idx="300">
                  <c:v>15.378443717956543</c:v>
                </c:pt>
                <c:pt idx="301">
                  <c:v>15.372823715209961</c:v>
                </c:pt>
                <c:pt idx="302">
                  <c:v>15.367389678955078</c:v>
                </c:pt>
                <c:pt idx="303">
                  <c:v>15.362142562866211</c:v>
                </c:pt>
                <c:pt idx="304">
                  <c:v>15.357075691223145</c:v>
                </c:pt>
                <c:pt idx="305">
                  <c:v>15.352185249328613</c:v>
                </c:pt>
                <c:pt idx="306">
                  <c:v>15.347471237182617</c:v>
                </c:pt>
                <c:pt idx="307">
                  <c:v>15.342930793762207</c:v>
                </c:pt>
                <c:pt idx="308">
                  <c:v>15.338559150695801</c:v>
                </c:pt>
                <c:pt idx="309">
                  <c:v>15.334352493286133</c:v>
                </c:pt>
                <c:pt idx="310">
                  <c:v>15.330307006835938</c:v>
                </c:pt>
                <c:pt idx="311">
                  <c:v>15.326421737670898</c:v>
                </c:pt>
                <c:pt idx="312">
                  <c:v>15.322691917419434</c:v>
                </c:pt>
                <c:pt idx="313">
                  <c:v>15.319114685058594</c:v>
                </c:pt>
                <c:pt idx="314">
                  <c:v>15.31568431854248</c:v>
                </c:pt>
                <c:pt idx="315">
                  <c:v>15.312400817871094</c:v>
                </c:pt>
                <c:pt idx="316">
                  <c:v>15.309258460998535</c:v>
                </c:pt>
                <c:pt idx="317">
                  <c:v>15.306253433227539</c:v>
                </c:pt>
                <c:pt idx="318">
                  <c:v>15.303384780883789</c:v>
                </c:pt>
                <c:pt idx="319">
                  <c:v>15.30064582824707</c:v>
                </c:pt>
                <c:pt idx="320">
                  <c:v>15.298031806945801</c:v>
                </c:pt>
                <c:pt idx="321">
                  <c:v>15.295543670654297</c:v>
                </c:pt>
                <c:pt idx="322">
                  <c:v>15.29317569732666</c:v>
                </c:pt>
                <c:pt idx="323">
                  <c:v>15.290925025939941</c:v>
                </c:pt>
                <c:pt idx="324">
                  <c:v>15.288784980773926</c:v>
                </c:pt>
                <c:pt idx="325">
                  <c:v>15.286755561828613</c:v>
                </c:pt>
                <c:pt idx="326">
                  <c:v>15.284830093383789</c:v>
                </c:pt>
                <c:pt idx="327">
                  <c:v>15.28300952911377</c:v>
                </c:pt>
                <c:pt idx="328">
                  <c:v>15.281286239624023</c:v>
                </c:pt>
                <c:pt idx="329">
                  <c:v>15.279659271240234</c:v>
                </c:pt>
                <c:pt idx="330">
                  <c:v>15.278124809265137</c:v>
                </c:pt>
                <c:pt idx="331">
                  <c:v>15.276679039001465</c:v>
                </c:pt>
                <c:pt idx="332">
                  <c:v>15.27531909942627</c:v>
                </c:pt>
                <c:pt idx="333">
                  <c:v>15.274041175842285</c:v>
                </c:pt>
                <c:pt idx="334">
                  <c:v>15.272844314575195</c:v>
                </c:pt>
                <c:pt idx="335">
                  <c:v>15.271722793579102</c:v>
                </c:pt>
                <c:pt idx="336">
                  <c:v>15.270676612854004</c:v>
                </c:pt>
                <c:pt idx="337">
                  <c:v>15.269700050354004</c:v>
                </c:pt>
                <c:pt idx="338">
                  <c:v>15.268792152404785</c:v>
                </c:pt>
                <c:pt idx="339">
                  <c:v>15.267951011657715</c:v>
                </c:pt>
                <c:pt idx="340">
                  <c:v>15.267171859741211</c:v>
                </c:pt>
                <c:pt idx="341">
                  <c:v>15.266454696655273</c:v>
                </c:pt>
                <c:pt idx="342">
                  <c:v>15.265795707702637</c:v>
                </c:pt>
                <c:pt idx="343">
                  <c:v>15.265194892883301</c:v>
                </c:pt>
                <c:pt idx="344">
                  <c:v>15.264647483825684</c:v>
                </c:pt>
                <c:pt idx="345">
                  <c:v>15.264154434204102</c:v>
                </c:pt>
                <c:pt idx="346">
                  <c:v>15.263712882995605</c:v>
                </c:pt>
                <c:pt idx="347">
                  <c:v>15.263319969177246</c:v>
                </c:pt>
                <c:pt idx="348">
                  <c:v>15.262975692749023</c:v>
                </c:pt>
                <c:pt idx="349">
                  <c:v>15.262680053710937</c:v>
                </c:pt>
                <c:pt idx="350">
                  <c:v>15.262429237365723</c:v>
                </c:pt>
                <c:pt idx="351">
                  <c:v>15.262224197387695</c:v>
                </c:pt>
                <c:pt idx="352">
                  <c:v>15.262063980102539</c:v>
                </c:pt>
                <c:pt idx="353">
                  <c:v>15.261947631835938</c:v>
                </c:pt>
                <c:pt idx="354">
                  <c:v>15.261874198913574</c:v>
                </c:pt>
                <c:pt idx="355">
                  <c:v>15.261844635009766</c:v>
                </c:pt>
                <c:pt idx="356">
                  <c:v>15.261857986450195</c:v>
                </c:pt>
                <c:pt idx="357">
                  <c:v>15.261914253234863</c:v>
                </c:pt>
                <c:pt idx="358">
                  <c:v>15.262015342712402</c:v>
                </c:pt>
                <c:pt idx="359">
                  <c:v>15.262158393859863</c:v>
                </c:pt>
                <c:pt idx="360">
                  <c:v>15.262347221374512</c:v>
                </c:pt>
                <c:pt idx="361">
                  <c:v>15.262580871582031</c:v>
                </c:pt>
                <c:pt idx="362">
                  <c:v>15.262859344482422</c:v>
                </c:pt>
                <c:pt idx="363">
                  <c:v>15.263185501098633</c:v>
                </c:pt>
                <c:pt idx="364">
                  <c:v>15.263559341430664</c:v>
                </c:pt>
              </c:numCache>
            </c:numRef>
          </c:yVal>
        </c:ser>
        <c:axId val="126983168"/>
        <c:axId val="126989056"/>
      </c:scatterChart>
      <c:scatterChart>
        <c:scatterStyle val="lineMarker"/>
        <c:ser>
          <c:idx val="1"/>
          <c:order val="1"/>
          <c:tx>
            <c:strRef>
              <c:f>'CSM63'!$I$14</c:f>
              <c:strCache>
                <c:ptCount val="1"/>
                <c:pt idx="0">
                  <c:v>TT</c:v>
                </c:pt>
              </c:strCache>
            </c:strRef>
          </c:tx>
          <c:marker>
            <c:symbol val="none"/>
          </c:marker>
          <c:xVal>
            <c:numRef>
              <c:f>'CSM63'!$A$15:$A$379</c:f>
              <c:numCache>
                <c:formatCode>d\-mmm\-yy</c:formatCode>
                <c:ptCount val="365"/>
                <c:pt idx="0">
                  <c:v>33239</c:v>
                </c:pt>
                <c:pt idx="1">
                  <c:v>33240</c:v>
                </c:pt>
                <c:pt idx="2">
                  <c:v>33241</c:v>
                </c:pt>
                <c:pt idx="3">
                  <c:v>33242</c:v>
                </c:pt>
                <c:pt idx="4">
                  <c:v>33243</c:v>
                </c:pt>
                <c:pt idx="5">
                  <c:v>33244</c:v>
                </c:pt>
                <c:pt idx="6">
                  <c:v>33245</c:v>
                </c:pt>
                <c:pt idx="7">
                  <c:v>33246</c:v>
                </c:pt>
                <c:pt idx="8">
                  <c:v>33247</c:v>
                </c:pt>
                <c:pt idx="9">
                  <c:v>33248</c:v>
                </c:pt>
                <c:pt idx="10">
                  <c:v>33249</c:v>
                </c:pt>
                <c:pt idx="11">
                  <c:v>33250</c:v>
                </c:pt>
                <c:pt idx="12">
                  <c:v>33251</c:v>
                </c:pt>
                <c:pt idx="13">
                  <c:v>33252</c:v>
                </c:pt>
                <c:pt idx="14">
                  <c:v>33253</c:v>
                </c:pt>
                <c:pt idx="15">
                  <c:v>33254</c:v>
                </c:pt>
                <c:pt idx="16">
                  <c:v>33255</c:v>
                </c:pt>
                <c:pt idx="17">
                  <c:v>33256</c:v>
                </c:pt>
                <c:pt idx="18">
                  <c:v>33257</c:v>
                </c:pt>
                <c:pt idx="19">
                  <c:v>33258</c:v>
                </c:pt>
                <c:pt idx="20">
                  <c:v>33259</c:v>
                </c:pt>
                <c:pt idx="21">
                  <c:v>33260</c:v>
                </c:pt>
                <c:pt idx="22">
                  <c:v>33261</c:v>
                </c:pt>
                <c:pt idx="23">
                  <c:v>33262</c:v>
                </c:pt>
                <c:pt idx="24">
                  <c:v>33263</c:v>
                </c:pt>
                <c:pt idx="25">
                  <c:v>33264</c:v>
                </c:pt>
                <c:pt idx="26">
                  <c:v>33265</c:v>
                </c:pt>
                <c:pt idx="27">
                  <c:v>33266</c:v>
                </c:pt>
                <c:pt idx="28">
                  <c:v>33267</c:v>
                </c:pt>
                <c:pt idx="29">
                  <c:v>33268</c:v>
                </c:pt>
                <c:pt idx="30">
                  <c:v>33269</c:v>
                </c:pt>
                <c:pt idx="31">
                  <c:v>33270</c:v>
                </c:pt>
                <c:pt idx="32">
                  <c:v>33271</c:v>
                </c:pt>
                <c:pt idx="33">
                  <c:v>33272</c:v>
                </c:pt>
                <c:pt idx="34">
                  <c:v>33273</c:v>
                </c:pt>
                <c:pt idx="35">
                  <c:v>33274</c:v>
                </c:pt>
                <c:pt idx="36">
                  <c:v>33275</c:v>
                </c:pt>
                <c:pt idx="37">
                  <c:v>33276</c:v>
                </c:pt>
                <c:pt idx="38">
                  <c:v>33277</c:v>
                </c:pt>
                <c:pt idx="39">
                  <c:v>33278</c:v>
                </c:pt>
                <c:pt idx="40">
                  <c:v>33279</c:v>
                </c:pt>
                <c:pt idx="41">
                  <c:v>33280</c:v>
                </c:pt>
                <c:pt idx="42">
                  <c:v>33281</c:v>
                </c:pt>
                <c:pt idx="43">
                  <c:v>33282</c:v>
                </c:pt>
                <c:pt idx="44">
                  <c:v>33283</c:v>
                </c:pt>
                <c:pt idx="45">
                  <c:v>33284</c:v>
                </c:pt>
                <c:pt idx="46">
                  <c:v>33285</c:v>
                </c:pt>
                <c:pt idx="47">
                  <c:v>33286</c:v>
                </c:pt>
                <c:pt idx="48">
                  <c:v>33287</c:v>
                </c:pt>
                <c:pt idx="49">
                  <c:v>33288</c:v>
                </c:pt>
                <c:pt idx="50">
                  <c:v>33289</c:v>
                </c:pt>
                <c:pt idx="51">
                  <c:v>33290</c:v>
                </c:pt>
                <c:pt idx="52">
                  <c:v>33291</c:v>
                </c:pt>
                <c:pt idx="53">
                  <c:v>33292</c:v>
                </c:pt>
                <c:pt idx="54">
                  <c:v>33293</c:v>
                </c:pt>
                <c:pt idx="55">
                  <c:v>33294</c:v>
                </c:pt>
                <c:pt idx="56">
                  <c:v>33295</c:v>
                </c:pt>
                <c:pt idx="57">
                  <c:v>33296</c:v>
                </c:pt>
                <c:pt idx="58">
                  <c:v>33297</c:v>
                </c:pt>
                <c:pt idx="59">
                  <c:v>33298</c:v>
                </c:pt>
                <c:pt idx="60">
                  <c:v>33299</c:v>
                </c:pt>
                <c:pt idx="61">
                  <c:v>33300</c:v>
                </c:pt>
                <c:pt idx="62">
                  <c:v>33301</c:v>
                </c:pt>
                <c:pt idx="63">
                  <c:v>33302</c:v>
                </c:pt>
                <c:pt idx="64">
                  <c:v>33303</c:v>
                </c:pt>
                <c:pt idx="65">
                  <c:v>33304</c:v>
                </c:pt>
                <c:pt idx="66">
                  <c:v>33305</c:v>
                </c:pt>
                <c:pt idx="67">
                  <c:v>33306</c:v>
                </c:pt>
                <c:pt idx="68">
                  <c:v>33307</c:v>
                </c:pt>
                <c:pt idx="69">
                  <c:v>33308</c:v>
                </c:pt>
                <c:pt idx="70">
                  <c:v>33309</c:v>
                </c:pt>
                <c:pt idx="71">
                  <c:v>33310</c:v>
                </c:pt>
                <c:pt idx="72">
                  <c:v>33311</c:v>
                </c:pt>
                <c:pt idx="73">
                  <c:v>33312</c:v>
                </c:pt>
                <c:pt idx="74">
                  <c:v>33313</c:v>
                </c:pt>
                <c:pt idx="75">
                  <c:v>33314</c:v>
                </c:pt>
                <c:pt idx="76">
                  <c:v>33315</c:v>
                </c:pt>
                <c:pt idx="77">
                  <c:v>33316</c:v>
                </c:pt>
                <c:pt idx="78">
                  <c:v>33317</c:v>
                </c:pt>
                <c:pt idx="79">
                  <c:v>33318</c:v>
                </c:pt>
                <c:pt idx="80">
                  <c:v>33319</c:v>
                </c:pt>
                <c:pt idx="81">
                  <c:v>33320</c:v>
                </c:pt>
                <c:pt idx="82">
                  <c:v>33321</c:v>
                </c:pt>
                <c:pt idx="83">
                  <c:v>33322</c:v>
                </c:pt>
                <c:pt idx="84">
                  <c:v>33323</c:v>
                </c:pt>
                <c:pt idx="85">
                  <c:v>33324</c:v>
                </c:pt>
                <c:pt idx="86">
                  <c:v>33325</c:v>
                </c:pt>
                <c:pt idx="87">
                  <c:v>33326</c:v>
                </c:pt>
                <c:pt idx="88">
                  <c:v>33327</c:v>
                </c:pt>
                <c:pt idx="89">
                  <c:v>33328</c:v>
                </c:pt>
                <c:pt idx="90">
                  <c:v>33329</c:v>
                </c:pt>
                <c:pt idx="91">
                  <c:v>33330</c:v>
                </c:pt>
                <c:pt idx="92">
                  <c:v>33331</c:v>
                </c:pt>
                <c:pt idx="93">
                  <c:v>33332</c:v>
                </c:pt>
                <c:pt idx="94">
                  <c:v>33333</c:v>
                </c:pt>
                <c:pt idx="95">
                  <c:v>33334</c:v>
                </c:pt>
                <c:pt idx="96">
                  <c:v>33335</c:v>
                </c:pt>
                <c:pt idx="97">
                  <c:v>33336</c:v>
                </c:pt>
                <c:pt idx="98">
                  <c:v>33337</c:v>
                </c:pt>
                <c:pt idx="99">
                  <c:v>33338</c:v>
                </c:pt>
                <c:pt idx="100">
                  <c:v>33339</c:v>
                </c:pt>
                <c:pt idx="101">
                  <c:v>33340</c:v>
                </c:pt>
                <c:pt idx="102">
                  <c:v>33341</c:v>
                </c:pt>
                <c:pt idx="103">
                  <c:v>33342</c:v>
                </c:pt>
                <c:pt idx="104">
                  <c:v>33343</c:v>
                </c:pt>
                <c:pt idx="105">
                  <c:v>33344</c:v>
                </c:pt>
                <c:pt idx="106">
                  <c:v>33345</c:v>
                </c:pt>
                <c:pt idx="107">
                  <c:v>33346</c:v>
                </c:pt>
                <c:pt idx="108">
                  <c:v>33347</c:v>
                </c:pt>
                <c:pt idx="109">
                  <c:v>33348</c:v>
                </c:pt>
                <c:pt idx="110">
                  <c:v>33349</c:v>
                </c:pt>
                <c:pt idx="111">
                  <c:v>33350</c:v>
                </c:pt>
                <c:pt idx="112">
                  <c:v>33351</c:v>
                </c:pt>
                <c:pt idx="113">
                  <c:v>33352</c:v>
                </c:pt>
                <c:pt idx="114">
                  <c:v>33353</c:v>
                </c:pt>
                <c:pt idx="115">
                  <c:v>33354</c:v>
                </c:pt>
                <c:pt idx="116">
                  <c:v>33355</c:v>
                </c:pt>
                <c:pt idx="117">
                  <c:v>33356</c:v>
                </c:pt>
                <c:pt idx="118">
                  <c:v>33357</c:v>
                </c:pt>
                <c:pt idx="119">
                  <c:v>33358</c:v>
                </c:pt>
                <c:pt idx="120">
                  <c:v>33359</c:v>
                </c:pt>
                <c:pt idx="121">
                  <c:v>33360</c:v>
                </c:pt>
                <c:pt idx="122">
                  <c:v>33361</c:v>
                </c:pt>
                <c:pt idx="123">
                  <c:v>33362</c:v>
                </c:pt>
                <c:pt idx="124">
                  <c:v>33363</c:v>
                </c:pt>
                <c:pt idx="125">
                  <c:v>33364</c:v>
                </c:pt>
                <c:pt idx="126">
                  <c:v>33365</c:v>
                </c:pt>
                <c:pt idx="127">
                  <c:v>33366</c:v>
                </c:pt>
                <c:pt idx="128">
                  <c:v>33367</c:v>
                </c:pt>
                <c:pt idx="129">
                  <c:v>33368</c:v>
                </c:pt>
                <c:pt idx="130">
                  <c:v>33369</c:v>
                </c:pt>
                <c:pt idx="131">
                  <c:v>33370</c:v>
                </c:pt>
                <c:pt idx="132">
                  <c:v>33371</c:v>
                </c:pt>
                <c:pt idx="133">
                  <c:v>33372</c:v>
                </c:pt>
                <c:pt idx="134">
                  <c:v>33373</c:v>
                </c:pt>
                <c:pt idx="135">
                  <c:v>33374</c:v>
                </c:pt>
                <c:pt idx="136">
                  <c:v>33375</c:v>
                </c:pt>
                <c:pt idx="137">
                  <c:v>33376</c:v>
                </c:pt>
                <c:pt idx="138">
                  <c:v>33377</c:v>
                </c:pt>
                <c:pt idx="139">
                  <c:v>33378</c:v>
                </c:pt>
                <c:pt idx="140">
                  <c:v>33379</c:v>
                </c:pt>
                <c:pt idx="141">
                  <c:v>33380</c:v>
                </c:pt>
                <c:pt idx="142">
                  <c:v>33381</c:v>
                </c:pt>
                <c:pt idx="143">
                  <c:v>33382</c:v>
                </c:pt>
                <c:pt idx="144">
                  <c:v>33383</c:v>
                </c:pt>
                <c:pt idx="145">
                  <c:v>33384</c:v>
                </c:pt>
                <c:pt idx="146">
                  <c:v>33385</c:v>
                </c:pt>
                <c:pt idx="147">
                  <c:v>33386</c:v>
                </c:pt>
                <c:pt idx="148">
                  <c:v>33387</c:v>
                </c:pt>
                <c:pt idx="149">
                  <c:v>33388</c:v>
                </c:pt>
                <c:pt idx="150">
                  <c:v>33389</c:v>
                </c:pt>
                <c:pt idx="151">
                  <c:v>33390</c:v>
                </c:pt>
                <c:pt idx="152">
                  <c:v>33391</c:v>
                </c:pt>
                <c:pt idx="153">
                  <c:v>33392</c:v>
                </c:pt>
                <c:pt idx="154">
                  <c:v>33393</c:v>
                </c:pt>
                <c:pt idx="155">
                  <c:v>33394</c:v>
                </c:pt>
                <c:pt idx="156">
                  <c:v>33395</c:v>
                </c:pt>
                <c:pt idx="157">
                  <c:v>33396</c:v>
                </c:pt>
                <c:pt idx="158">
                  <c:v>33397</c:v>
                </c:pt>
                <c:pt idx="159">
                  <c:v>33398</c:v>
                </c:pt>
                <c:pt idx="160">
                  <c:v>33399</c:v>
                </c:pt>
                <c:pt idx="161">
                  <c:v>33400</c:v>
                </c:pt>
                <c:pt idx="162">
                  <c:v>33401</c:v>
                </c:pt>
                <c:pt idx="163">
                  <c:v>33402</c:v>
                </c:pt>
                <c:pt idx="164">
                  <c:v>33403</c:v>
                </c:pt>
                <c:pt idx="165">
                  <c:v>33404</c:v>
                </c:pt>
                <c:pt idx="166">
                  <c:v>33405</c:v>
                </c:pt>
                <c:pt idx="167">
                  <c:v>33406</c:v>
                </c:pt>
                <c:pt idx="168">
                  <c:v>33407</c:v>
                </c:pt>
                <c:pt idx="169">
                  <c:v>33408</c:v>
                </c:pt>
                <c:pt idx="170">
                  <c:v>33409</c:v>
                </c:pt>
                <c:pt idx="171">
                  <c:v>33410</c:v>
                </c:pt>
                <c:pt idx="172">
                  <c:v>33411</c:v>
                </c:pt>
                <c:pt idx="173">
                  <c:v>33412</c:v>
                </c:pt>
                <c:pt idx="174">
                  <c:v>33413</c:v>
                </c:pt>
                <c:pt idx="175">
                  <c:v>33414</c:v>
                </c:pt>
                <c:pt idx="176">
                  <c:v>33415</c:v>
                </c:pt>
                <c:pt idx="177">
                  <c:v>33416</c:v>
                </c:pt>
                <c:pt idx="178">
                  <c:v>33417</c:v>
                </c:pt>
                <c:pt idx="179">
                  <c:v>33418</c:v>
                </c:pt>
                <c:pt idx="180">
                  <c:v>33419</c:v>
                </c:pt>
                <c:pt idx="181">
                  <c:v>33420</c:v>
                </c:pt>
                <c:pt idx="182">
                  <c:v>33421</c:v>
                </c:pt>
                <c:pt idx="183">
                  <c:v>33422</c:v>
                </c:pt>
                <c:pt idx="184">
                  <c:v>33423</c:v>
                </c:pt>
                <c:pt idx="185">
                  <c:v>33424</c:v>
                </c:pt>
                <c:pt idx="186">
                  <c:v>33425</c:v>
                </c:pt>
                <c:pt idx="187">
                  <c:v>33426</c:v>
                </c:pt>
                <c:pt idx="188">
                  <c:v>33427</c:v>
                </c:pt>
                <c:pt idx="189">
                  <c:v>33428</c:v>
                </c:pt>
                <c:pt idx="190">
                  <c:v>33429</c:v>
                </c:pt>
                <c:pt idx="191">
                  <c:v>33430</c:v>
                </c:pt>
                <c:pt idx="192">
                  <c:v>33431</c:v>
                </c:pt>
                <c:pt idx="193">
                  <c:v>33432</c:v>
                </c:pt>
                <c:pt idx="194">
                  <c:v>33433</c:v>
                </c:pt>
                <c:pt idx="195">
                  <c:v>33434</c:v>
                </c:pt>
                <c:pt idx="196">
                  <c:v>33435</c:v>
                </c:pt>
                <c:pt idx="197">
                  <c:v>33436</c:v>
                </c:pt>
                <c:pt idx="198">
                  <c:v>33437</c:v>
                </c:pt>
                <c:pt idx="199">
                  <c:v>33438</c:v>
                </c:pt>
                <c:pt idx="200">
                  <c:v>33439</c:v>
                </c:pt>
                <c:pt idx="201">
                  <c:v>33440</c:v>
                </c:pt>
                <c:pt idx="202">
                  <c:v>33441</c:v>
                </c:pt>
                <c:pt idx="203">
                  <c:v>33442</c:v>
                </c:pt>
                <c:pt idx="204">
                  <c:v>33443</c:v>
                </c:pt>
                <c:pt idx="205">
                  <c:v>33444</c:v>
                </c:pt>
                <c:pt idx="206">
                  <c:v>33445</c:v>
                </c:pt>
                <c:pt idx="207">
                  <c:v>33446</c:v>
                </c:pt>
                <c:pt idx="208">
                  <c:v>33447</c:v>
                </c:pt>
                <c:pt idx="209">
                  <c:v>33448</c:v>
                </c:pt>
                <c:pt idx="210">
                  <c:v>33449</c:v>
                </c:pt>
                <c:pt idx="211">
                  <c:v>33450</c:v>
                </c:pt>
                <c:pt idx="212">
                  <c:v>33451</c:v>
                </c:pt>
                <c:pt idx="213">
                  <c:v>33452</c:v>
                </c:pt>
                <c:pt idx="214">
                  <c:v>33453</c:v>
                </c:pt>
                <c:pt idx="215">
                  <c:v>33454</c:v>
                </c:pt>
                <c:pt idx="216">
                  <c:v>33455</c:v>
                </c:pt>
                <c:pt idx="217">
                  <c:v>33456</c:v>
                </c:pt>
                <c:pt idx="218">
                  <c:v>33457</c:v>
                </c:pt>
                <c:pt idx="219">
                  <c:v>33458</c:v>
                </c:pt>
                <c:pt idx="220">
                  <c:v>33459</c:v>
                </c:pt>
                <c:pt idx="221">
                  <c:v>33460</c:v>
                </c:pt>
                <c:pt idx="222">
                  <c:v>33461</c:v>
                </c:pt>
                <c:pt idx="223">
                  <c:v>33462</c:v>
                </c:pt>
                <c:pt idx="224">
                  <c:v>33463</c:v>
                </c:pt>
                <c:pt idx="225">
                  <c:v>33464</c:v>
                </c:pt>
                <c:pt idx="226">
                  <c:v>33465</c:v>
                </c:pt>
                <c:pt idx="227">
                  <c:v>33466</c:v>
                </c:pt>
                <c:pt idx="228">
                  <c:v>33467</c:v>
                </c:pt>
                <c:pt idx="229">
                  <c:v>33468</c:v>
                </c:pt>
                <c:pt idx="230">
                  <c:v>33469</c:v>
                </c:pt>
                <c:pt idx="231">
                  <c:v>33470</c:v>
                </c:pt>
                <c:pt idx="232">
                  <c:v>33471</c:v>
                </c:pt>
                <c:pt idx="233">
                  <c:v>33472</c:v>
                </c:pt>
                <c:pt idx="234">
                  <c:v>33473</c:v>
                </c:pt>
                <c:pt idx="235">
                  <c:v>33474</c:v>
                </c:pt>
                <c:pt idx="236">
                  <c:v>33475</c:v>
                </c:pt>
                <c:pt idx="237">
                  <c:v>33476</c:v>
                </c:pt>
                <c:pt idx="238">
                  <c:v>33477</c:v>
                </c:pt>
                <c:pt idx="239">
                  <c:v>33478</c:v>
                </c:pt>
                <c:pt idx="240">
                  <c:v>33479</c:v>
                </c:pt>
                <c:pt idx="241">
                  <c:v>33480</c:v>
                </c:pt>
                <c:pt idx="242">
                  <c:v>33481</c:v>
                </c:pt>
                <c:pt idx="243">
                  <c:v>33482</c:v>
                </c:pt>
                <c:pt idx="244">
                  <c:v>33483</c:v>
                </c:pt>
                <c:pt idx="245">
                  <c:v>33484</c:v>
                </c:pt>
                <c:pt idx="246">
                  <c:v>33485</c:v>
                </c:pt>
                <c:pt idx="247">
                  <c:v>33486</c:v>
                </c:pt>
                <c:pt idx="248">
                  <c:v>33487</c:v>
                </c:pt>
                <c:pt idx="249">
                  <c:v>33488</c:v>
                </c:pt>
                <c:pt idx="250">
                  <c:v>33489</c:v>
                </c:pt>
                <c:pt idx="251">
                  <c:v>33490</c:v>
                </c:pt>
                <c:pt idx="252">
                  <c:v>33491</c:v>
                </c:pt>
                <c:pt idx="253">
                  <c:v>33492</c:v>
                </c:pt>
                <c:pt idx="254">
                  <c:v>33493</c:v>
                </c:pt>
                <c:pt idx="255">
                  <c:v>33494</c:v>
                </c:pt>
                <c:pt idx="256">
                  <c:v>33495</c:v>
                </c:pt>
                <c:pt idx="257">
                  <c:v>33496</c:v>
                </c:pt>
                <c:pt idx="258">
                  <c:v>33497</c:v>
                </c:pt>
                <c:pt idx="259">
                  <c:v>33498</c:v>
                </c:pt>
                <c:pt idx="260">
                  <c:v>33499</c:v>
                </c:pt>
                <c:pt idx="261">
                  <c:v>33500</c:v>
                </c:pt>
                <c:pt idx="262">
                  <c:v>33501</c:v>
                </c:pt>
                <c:pt idx="263">
                  <c:v>33502</c:v>
                </c:pt>
                <c:pt idx="264">
                  <c:v>33503</c:v>
                </c:pt>
                <c:pt idx="265">
                  <c:v>33504</c:v>
                </c:pt>
                <c:pt idx="266">
                  <c:v>33505</c:v>
                </c:pt>
                <c:pt idx="267">
                  <c:v>33506</c:v>
                </c:pt>
                <c:pt idx="268">
                  <c:v>33507</c:v>
                </c:pt>
                <c:pt idx="269">
                  <c:v>33508</c:v>
                </c:pt>
                <c:pt idx="270">
                  <c:v>33509</c:v>
                </c:pt>
                <c:pt idx="271">
                  <c:v>33510</c:v>
                </c:pt>
                <c:pt idx="272">
                  <c:v>33511</c:v>
                </c:pt>
                <c:pt idx="273">
                  <c:v>33512</c:v>
                </c:pt>
                <c:pt idx="274">
                  <c:v>33513</c:v>
                </c:pt>
                <c:pt idx="275">
                  <c:v>33514</c:v>
                </c:pt>
                <c:pt idx="276">
                  <c:v>33515</c:v>
                </c:pt>
                <c:pt idx="277">
                  <c:v>33516</c:v>
                </c:pt>
                <c:pt idx="278">
                  <c:v>33517</c:v>
                </c:pt>
                <c:pt idx="279">
                  <c:v>33518</c:v>
                </c:pt>
                <c:pt idx="280">
                  <c:v>33519</c:v>
                </c:pt>
                <c:pt idx="281">
                  <c:v>33520</c:v>
                </c:pt>
                <c:pt idx="282">
                  <c:v>33521</c:v>
                </c:pt>
                <c:pt idx="283">
                  <c:v>33522</c:v>
                </c:pt>
                <c:pt idx="284">
                  <c:v>33523</c:v>
                </c:pt>
                <c:pt idx="285">
                  <c:v>33524</c:v>
                </c:pt>
                <c:pt idx="286">
                  <c:v>33525</c:v>
                </c:pt>
                <c:pt idx="287">
                  <c:v>33526</c:v>
                </c:pt>
                <c:pt idx="288">
                  <c:v>33527</c:v>
                </c:pt>
                <c:pt idx="289">
                  <c:v>33528</c:v>
                </c:pt>
                <c:pt idx="290">
                  <c:v>33529</c:v>
                </c:pt>
                <c:pt idx="291">
                  <c:v>33530</c:v>
                </c:pt>
                <c:pt idx="292">
                  <c:v>33531</c:v>
                </c:pt>
                <c:pt idx="293">
                  <c:v>33532</c:v>
                </c:pt>
                <c:pt idx="294">
                  <c:v>33533</c:v>
                </c:pt>
                <c:pt idx="295">
                  <c:v>33534</c:v>
                </c:pt>
                <c:pt idx="296">
                  <c:v>33535</c:v>
                </c:pt>
                <c:pt idx="297">
                  <c:v>33536</c:v>
                </c:pt>
                <c:pt idx="298">
                  <c:v>33537</c:v>
                </c:pt>
                <c:pt idx="299">
                  <c:v>33538</c:v>
                </c:pt>
                <c:pt idx="300">
                  <c:v>33539</c:v>
                </c:pt>
                <c:pt idx="301">
                  <c:v>33540</c:v>
                </c:pt>
                <c:pt idx="302">
                  <c:v>33541</c:v>
                </c:pt>
                <c:pt idx="303">
                  <c:v>33542</c:v>
                </c:pt>
                <c:pt idx="304">
                  <c:v>33543</c:v>
                </c:pt>
                <c:pt idx="305">
                  <c:v>33544</c:v>
                </c:pt>
                <c:pt idx="306">
                  <c:v>33545</c:v>
                </c:pt>
                <c:pt idx="307">
                  <c:v>33546</c:v>
                </c:pt>
                <c:pt idx="308">
                  <c:v>33547</c:v>
                </c:pt>
                <c:pt idx="309">
                  <c:v>33548</c:v>
                </c:pt>
                <c:pt idx="310">
                  <c:v>33549</c:v>
                </c:pt>
                <c:pt idx="311">
                  <c:v>33550</c:v>
                </c:pt>
                <c:pt idx="312">
                  <c:v>33551</c:v>
                </c:pt>
                <c:pt idx="313">
                  <c:v>33552</c:v>
                </c:pt>
                <c:pt idx="314">
                  <c:v>33553</c:v>
                </c:pt>
                <c:pt idx="315">
                  <c:v>33554</c:v>
                </c:pt>
                <c:pt idx="316">
                  <c:v>33555</c:v>
                </c:pt>
                <c:pt idx="317">
                  <c:v>33556</c:v>
                </c:pt>
                <c:pt idx="318">
                  <c:v>33557</c:v>
                </c:pt>
                <c:pt idx="319">
                  <c:v>33558</c:v>
                </c:pt>
                <c:pt idx="320">
                  <c:v>33559</c:v>
                </c:pt>
                <c:pt idx="321">
                  <c:v>33560</c:v>
                </c:pt>
                <c:pt idx="322">
                  <c:v>33561</c:v>
                </c:pt>
                <c:pt idx="323">
                  <c:v>33562</c:v>
                </c:pt>
                <c:pt idx="324">
                  <c:v>33563</c:v>
                </c:pt>
                <c:pt idx="325">
                  <c:v>33564</c:v>
                </c:pt>
                <c:pt idx="326">
                  <c:v>33565</c:v>
                </c:pt>
                <c:pt idx="327">
                  <c:v>33566</c:v>
                </c:pt>
                <c:pt idx="328">
                  <c:v>33567</c:v>
                </c:pt>
                <c:pt idx="329">
                  <c:v>33568</c:v>
                </c:pt>
                <c:pt idx="330">
                  <c:v>33569</c:v>
                </c:pt>
                <c:pt idx="331">
                  <c:v>33570</c:v>
                </c:pt>
                <c:pt idx="332">
                  <c:v>33571</c:v>
                </c:pt>
                <c:pt idx="333">
                  <c:v>33572</c:v>
                </c:pt>
                <c:pt idx="334">
                  <c:v>33573</c:v>
                </c:pt>
                <c:pt idx="335">
                  <c:v>33574</c:v>
                </c:pt>
                <c:pt idx="336">
                  <c:v>33575</c:v>
                </c:pt>
                <c:pt idx="337">
                  <c:v>33576</c:v>
                </c:pt>
                <c:pt idx="338">
                  <c:v>33577</c:v>
                </c:pt>
                <c:pt idx="339">
                  <c:v>33578</c:v>
                </c:pt>
                <c:pt idx="340">
                  <c:v>33579</c:v>
                </c:pt>
                <c:pt idx="341">
                  <c:v>33580</c:v>
                </c:pt>
                <c:pt idx="342">
                  <c:v>33581</c:v>
                </c:pt>
                <c:pt idx="343">
                  <c:v>33582</c:v>
                </c:pt>
                <c:pt idx="344">
                  <c:v>33583</c:v>
                </c:pt>
                <c:pt idx="345">
                  <c:v>33584</c:v>
                </c:pt>
                <c:pt idx="346">
                  <c:v>33585</c:v>
                </c:pt>
                <c:pt idx="347">
                  <c:v>33586</c:v>
                </c:pt>
                <c:pt idx="348">
                  <c:v>33587</c:v>
                </c:pt>
                <c:pt idx="349">
                  <c:v>33588</c:v>
                </c:pt>
                <c:pt idx="350">
                  <c:v>33589</c:v>
                </c:pt>
                <c:pt idx="351">
                  <c:v>33590</c:v>
                </c:pt>
                <c:pt idx="352">
                  <c:v>33591</c:v>
                </c:pt>
                <c:pt idx="353">
                  <c:v>33592</c:v>
                </c:pt>
                <c:pt idx="354">
                  <c:v>33593</c:v>
                </c:pt>
                <c:pt idx="355">
                  <c:v>33594</c:v>
                </c:pt>
                <c:pt idx="356">
                  <c:v>33595</c:v>
                </c:pt>
                <c:pt idx="357">
                  <c:v>33596</c:v>
                </c:pt>
                <c:pt idx="358">
                  <c:v>33597</c:v>
                </c:pt>
                <c:pt idx="359">
                  <c:v>33598</c:v>
                </c:pt>
                <c:pt idx="360">
                  <c:v>33599</c:v>
                </c:pt>
                <c:pt idx="361">
                  <c:v>33600</c:v>
                </c:pt>
                <c:pt idx="362">
                  <c:v>33601</c:v>
                </c:pt>
                <c:pt idx="363">
                  <c:v>33602</c:v>
                </c:pt>
                <c:pt idx="364">
                  <c:v>33603</c:v>
                </c:pt>
              </c:numCache>
            </c:numRef>
          </c:xVal>
          <c:yVal>
            <c:numRef>
              <c:f>'CSM63'!$G$15:$G$379</c:f>
              <c:numCache>
                <c:formatCode>General</c:formatCode>
                <c:ptCount val="365"/>
                <c:pt idx="0">
                  <c:v>31.9</c:v>
                </c:pt>
                <c:pt idx="1">
                  <c:v>28.6</c:v>
                </c:pt>
                <c:pt idx="2">
                  <c:v>30.6</c:v>
                </c:pt>
                <c:pt idx="3">
                  <c:v>31</c:v>
                </c:pt>
                <c:pt idx="4">
                  <c:v>28.5</c:v>
                </c:pt>
                <c:pt idx="5">
                  <c:v>32.5</c:v>
                </c:pt>
                <c:pt idx="6">
                  <c:v>32.4</c:v>
                </c:pt>
                <c:pt idx="7">
                  <c:v>29.5</c:v>
                </c:pt>
                <c:pt idx="8">
                  <c:v>30.5</c:v>
                </c:pt>
                <c:pt idx="9">
                  <c:v>30.4</c:v>
                </c:pt>
                <c:pt idx="10">
                  <c:v>32</c:v>
                </c:pt>
                <c:pt idx="11">
                  <c:v>32</c:v>
                </c:pt>
                <c:pt idx="12">
                  <c:v>32.1</c:v>
                </c:pt>
                <c:pt idx="13">
                  <c:v>31.4</c:v>
                </c:pt>
                <c:pt idx="14">
                  <c:v>33</c:v>
                </c:pt>
                <c:pt idx="15">
                  <c:v>31.9</c:v>
                </c:pt>
                <c:pt idx="16">
                  <c:v>29.2</c:v>
                </c:pt>
                <c:pt idx="17">
                  <c:v>27</c:v>
                </c:pt>
                <c:pt idx="18">
                  <c:v>36</c:v>
                </c:pt>
                <c:pt idx="19">
                  <c:v>35.200000000000003</c:v>
                </c:pt>
                <c:pt idx="20">
                  <c:v>35.5</c:v>
                </c:pt>
                <c:pt idx="21">
                  <c:v>35.6</c:v>
                </c:pt>
                <c:pt idx="22">
                  <c:v>32</c:v>
                </c:pt>
                <c:pt idx="23">
                  <c:v>33</c:v>
                </c:pt>
                <c:pt idx="24">
                  <c:v>34.5</c:v>
                </c:pt>
                <c:pt idx="25">
                  <c:v>31.5</c:v>
                </c:pt>
                <c:pt idx="26">
                  <c:v>33.700000000000003</c:v>
                </c:pt>
                <c:pt idx="27">
                  <c:v>27.9</c:v>
                </c:pt>
                <c:pt idx="28">
                  <c:v>35.200000000000003</c:v>
                </c:pt>
                <c:pt idx="29">
                  <c:v>30.4</c:v>
                </c:pt>
                <c:pt idx="30">
                  <c:v>32</c:v>
                </c:pt>
                <c:pt idx="31">
                  <c:v>35</c:v>
                </c:pt>
                <c:pt idx="32">
                  <c:v>30.9</c:v>
                </c:pt>
                <c:pt idx="33">
                  <c:v>29.7</c:v>
                </c:pt>
                <c:pt idx="34">
                  <c:v>31.2</c:v>
                </c:pt>
                <c:pt idx="35">
                  <c:v>30.7</c:v>
                </c:pt>
                <c:pt idx="36">
                  <c:v>28</c:v>
                </c:pt>
                <c:pt idx="37">
                  <c:v>33.9</c:v>
                </c:pt>
                <c:pt idx="38">
                  <c:v>32.700000000000003</c:v>
                </c:pt>
                <c:pt idx="39">
                  <c:v>27.7</c:v>
                </c:pt>
                <c:pt idx="40">
                  <c:v>35</c:v>
                </c:pt>
                <c:pt idx="41">
                  <c:v>32.700000000000003</c:v>
                </c:pt>
                <c:pt idx="42">
                  <c:v>30.4</c:v>
                </c:pt>
                <c:pt idx="43">
                  <c:v>32.1</c:v>
                </c:pt>
                <c:pt idx="44">
                  <c:v>32.700000000000003</c:v>
                </c:pt>
                <c:pt idx="45">
                  <c:v>31.9</c:v>
                </c:pt>
                <c:pt idx="46">
                  <c:v>35.6</c:v>
                </c:pt>
                <c:pt idx="47">
                  <c:v>29</c:v>
                </c:pt>
                <c:pt idx="48">
                  <c:v>27.7</c:v>
                </c:pt>
                <c:pt idx="49">
                  <c:v>30.4</c:v>
                </c:pt>
                <c:pt idx="50">
                  <c:v>30</c:v>
                </c:pt>
                <c:pt idx="51">
                  <c:v>29.8</c:v>
                </c:pt>
                <c:pt idx="52">
                  <c:v>31.3</c:v>
                </c:pt>
                <c:pt idx="53">
                  <c:v>30.2</c:v>
                </c:pt>
                <c:pt idx="54">
                  <c:v>27.6</c:v>
                </c:pt>
                <c:pt idx="55">
                  <c:v>30.7</c:v>
                </c:pt>
                <c:pt idx="56">
                  <c:v>30.5</c:v>
                </c:pt>
                <c:pt idx="57">
                  <c:v>31.2</c:v>
                </c:pt>
                <c:pt idx="58">
                  <c:v>28.2</c:v>
                </c:pt>
                <c:pt idx="59">
                  <c:v>33.799999999999997</c:v>
                </c:pt>
                <c:pt idx="60">
                  <c:v>25.1</c:v>
                </c:pt>
                <c:pt idx="61">
                  <c:v>25.3</c:v>
                </c:pt>
                <c:pt idx="62">
                  <c:v>27.1</c:v>
                </c:pt>
                <c:pt idx="63">
                  <c:v>30</c:v>
                </c:pt>
                <c:pt idx="64">
                  <c:v>30.3</c:v>
                </c:pt>
                <c:pt idx="65">
                  <c:v>29.1</c:v>
                </c:pt>
                <c:pt idx="66">
                  <c:v>29.1</c:v>
                </c:pt>
                <c:pt idx="67">
                  <c:v>29.4</c:v>
                </c:pt>
                <c:pt idx="68">
                  <c:v>29.5</c:v>
                </c:pt>
                <c:pt idx="69">
                  <c:v>30.8</c:v>
                </c:pt>
                <c:pt idx="70">
                  <c:v>33.5</c:v>
                </c:pt>
                <c:pt idx="71">
                  <c:v>29.2</c:v>
                </c:pt>
                <c:pt idx="72">
                  <c:v>30</c:v>
                </c:pt>
                <c:pt idx="73">
                  <c:v>29.2</c:v>
                </c:pt>
                <c:pt idx="74">
                  <c:v>30.5</c:v>
                </c:pt>
                <c:pt idx="75">
                  <c:v>31.9</c:v>
                </c:pt>
                <c:pt idx="76">
                  <c:v>31.5</c:v>
                </c:pt>
                <c:pt idx="77">
                  <c:v>31.6</c:v>
                </c:pt>
                <c:pt idx="78">
                  <c:v>31.7</c:v>
                </c:pt>
                <c:pt idx="79">
                  <c:v>32.1</c:v>
                </c:pt>
                <c:pt idx="80">
                  <c:v>34.1</c:v>
                </c:pt>
                <c:pt idx="81">
                  <c:v>33.200000000000003</c:v>
                </c:pt>
                <c:pt idx="82">
                  <c:v>29.6</c:v>
                </c:pt>
                <c:pt idx="83">
                  <c:v>35.4</c:v>
                </c:pt>
                <c:pt idx="84">
                  <c:v>37</c:v>
                </c:pt>
                <c:pt idx="85">
                  <c:v>37.6</c:v>
                </c:pt>
                <c:pt idx="86">
                  <c:v>32.700000000000003</c:v>
                </c:pt>
                <c:pt idx="87">
                  <c:v>30.7</c:v>
                </c:pt>
                <c:pt idx="88">
                  <c:v>27.5</c:v>
                </c:pt>
                <c:pt idx="89">
                  <c:v>30</c:v>
                </c:pt>
                <c:pt idx="90">
                  <c:v>33</c:v>
                </c:pt>
                <c:pt idx="91">
                  <c:v>35</c:v>
                </c:pt>
                <c:pt idx="92">
                  <c:v>30</c:v>
                </c:pt>
                <c:pt idx="93">
                  <c:v>29.1</c:v>
                </c:pt>
                <c:pt idx="94">
                  <c:v>28.9</c:v>
                </c:pt>
                <c:pt idx="95">
                  <c:v>29.1</c:v>
                </c:pt>
                <c:pt idx="96">
                  <c:v>30.8</c:v>
                </c:pt>
                <c:pt idx="97">
                  <c:v>28.6</c:v>
                </c:pt>
                <c:pt idx="98">
                  <c:v>27</c:v>
                </c:pt>
                <c:pt idx="99">
                  <c:v>25.7</c:v>
                </c:pt>
                <c:pt idx="100">
                  <c:v>27.2</c:v>
                </c:pt>
                <c:pt idx="101">
                  <c:v>28.3</c:v>
                </c:pt>
                <c:pt idx="102">
                  <c:v>27.6</c:v>
                </c:pt>
                <c:pt idx="103">
                  <c:v>28</c:v>
                </c:pt>
                <c:pt idx="104">
                  <c:v>31</c:v>
                </c:pt>
                <c:pt idx="105">
                  <c:v>29.2</c:v>
                </c:pt>
                <c:pt idx="106">
                  <c:v>28.8</c:v>
                </c:pt>
                <c:pt idx="107">
                  <c:v>30.8</c:v>
                </c:pt>
                <c:pt idx="108">
                  <c:v>29</c:v>
                </c:pt>
                <c:pt idx="109">
                  <c:v>28.1</c:v>
                </c:pt>
                <c:pt idx="110">
                  <c:v>29.8</c:v>
                </c:pt>
                <c:pt idx="111">
                  <c:v>30.3</c:v>
                </c:pt>
                <c:pt idx="112">
                  <c:v>27.2</c:v>
                </c:pt>
                <c:pt idx="113">
                  <c:v>32</c:v>
                </c:pt>
                <c:pt idx="114">
                  <c:v>33.5</c:v>
                </c:pt>
                <c:pt idx="115">
                  <c:v>26.5</c:v>
                </c:pt>
                <c:pt idx="116">
                  <c:v>27.6</c:v>
                </c:pt>
                <c:pt idx="117">
                  <c:v>28</c:v>
                </c:pt>
                <c:pt idx="118">
                  <c:v>26.9</c:v>
                </c:pt>
                <c:pt idx="119">
                  <c:v>26.9</c:v>
                </c:pt>
                <c:pt idx="120">
                  <c:v>26.8</c:v>
                </c:pt>
                <c:pt idx="121">
                  <c:v>30</c:v>
                </c:pt>
                <c:pt idx="122">
                  <c:v>29</c:v>
                </c:pt>
                <c:pt idx="123">
                  <c:v>25.7</c:v>
                </c:pt>
                <c:pt idx="124">
                  <c:v>26</c:v>
                </c:pt>
                <c:pt idx="125">
                  <c:v>26.6</c:v>
                </c:pt>
                <c:pt idx="126">
                  <c:v>26.5</c:v>
                </c:pt>
                <c:pt idx="127">
                  <c:v>27</c:v>
                </c:pt>
                <c:pt idx="128">
                  <c:v>28</c:v>
                </c:pt>
                <c:pt idx="129">
                  <c:v>26.6</c:v>
                </c:pt>
                <c:pt idx="130">
                  <c:v>23.5</c:v>
                </c:pt>
                <c:pt idx="131">
                  <c:v>24.1</c:v>
                </c:pt>
                <c:pt idx="132">
                  <c:v>24.1</c:v>
                </c:pt>
                <c:pt idx="133">
                  <c:v>24.2</c:v>
                </c:pt>
                <c:pt idx="134">
                  <c:v>22</c:v>
                </c:pt>
                <c:pt idx="135">
                  <c:v>21</c:v>
                </c:pt>
                <c:pt idx="136">
                  <c:v>24.5</c:v>
                </c:pt>
                <c:pt idx="137">
                  <c:v>22</c:v>
                </c:pt>
                <c:pt idx="138">
                  <c:v>24.2</c:v>
                </c:pt>
                <c:pt idx="139">
                  <c:v>22.1</c:v>
                </c:pt>
                <c:pt idx="140">
                  <c:v>22</c:v>
                </c:pt>
                <c:pt idx="141">
                  <c:v>21.6</c:v>
                </c:pt>
                <c:pt idx="142">
                  <c:v>23.2</c:v>
                </c:pt>
                <c:pt idx="143">
                  <c:v>24</c:v>
                </c:pt>
                <c:pt idx="144">
                  <c:v>27.4</c:v>
                </c:pt>
                <c:pt idx="145">
                  <c:v>26.9</c:v>
                </c:pt>
                <c:pt idx="146">
                  <c:v>27.1</c:v>
                </c:pt>
                <c:pt idx="147">
                  <c:v>26</c:v>
                </c:pt>
                <c:pt idx="148">
                  <c:v>22.1</c:v>
                </c:pt>
                <c:pt idx="149">
                  <c:v>24.2</c:v>
                </c:pt>
                <c:pt idx="150">
                  <c:v>24.1</c:v>
                </c:pt>
                <c:pt idx="151">
                  <c:v>23.6</c:v>
                </c:pt>
                <c:pt idx="152">
                  <c:v>24</c:v>
                </c:pt>
                <c:pt idx="153">
                  <c:v>23.5</c:v>
                </c:pt>
                <c:pt idx="154">
                  <c:v>22.5</c:v>
                </c:pt>
                <c:pt idx="155">
                  <c:v>21</c:v>
                </c:pt>
                <c:pt idx="156">
                  <c:v>25</c:v>
                </c:pt>
                <c:pt idx="157">
                  <c:v>22.6</c:v>
                </c:pt>
                <c:pt idx="158">
                  <c:v>22.6</c:v>
                </c:pt>
                <c:pt idx="159">
                  <c:v>21</c:v>
                </c:pt>
                <c:pt idx="160">
                  <c:v>21.2</c:v>
                </c:pt>
                <c:pt idx="161">
                  <c:v>23.8</c:v>
                </c:pt>
                <c:pt idx="162">
                  <c:v>22.9</c:v>
                </c:pt>
                <c:pt idx="163">
                  <c:v>18.600000000000001</c:v>
                </c:pt>
                <c:pt idx="164">
                  <c:v>20.8</c:v>
                </c:pt>
                <c:pt idx="165">
                  <c:v>24.1</c:v>
                </c:pt>
                <c:pt idx="166">
                  <c:v>25</c:v>
                </c:pt>
                <c:pt idx="167">
                  <c:v>25</c:v>
                </c:pt>
                <c:pt idx="168">
                  <c:v>23.8</c:v>
                </c:pt>
                <c:pt idx="169">
                  <c:v>23</c:v>
                </c:pt>
                <c:pt idx="170">
                  <c:v>23</c:v>
                </c:pt>
                <c:pt idx="171">
                  <c:v>26</c:v>
                </c:pt>
                <c:pt idx="172">
                  <c:v>24</c:v>
                </c:pt>
                <c:pt idx="173">
                  <c:v>24</c:v>
                </c:pt>
                <c:pt idx="174">
                  <c:v>26.8</c:v>
                </c:pt>
                <c:pt idx="175">
                  <c:v>26.5</c:v>
                </c:pt>
                <c:pt idx="176">
                  <c:v>28.9</c:v>
                </c:pt>
                <c:pt idx="177">
                  <c:v>25.3</c:v>
                </c:pt>
                <c:pt idx="178">
                  <c:v>24.5</c:v>
                </c:pt>
                <c:pt idx="179">
                  <c:v>26.7</c:v>
                </c:pt>
                <c:pt idx="180">
                  <c:v>24.5</c:v>
                </c:pt>
                <c:pt idx="181">
                  <c:v>23</c:v>
                </c:pt>
                <c:pt idx="182">
                  <c:v>23</c:v>
                </c:pt>
                <c:pt idx="183">
                  <c:v>23.5</c:v>
                </c:pt>
                <c:pt idx="184">
                  <c:v>22.6</c:v>
                </c:pt>
                <c:pt idx="185">
                  <c:v>22.4</c:v>
                </c:pt>
                <c:pt idx="186">
                  <c:v>24.5</c:v>
                </c:pt>
                <c:pt idx="187">
                  <c:v>22</c:v>
                </c:pt>
                <c:pt idx="188">
                  <c:v>23</c:v>
                </c:pt>
                <c:pt idx="189">
                  <c:v>18</c:v>
                </c:pt>
                <c:pt idx="190">
                  <c:v>16.8</c:v>
                </c:pt>
                <c:pt idx="191">
                  <c:v>17</c:v>
                </c:pt>
                <c:pt idx="192">
                  <c:v>19</c:v>
                </c:pt>
                <c:pt idx="193">
                  <c:v>20.6</c:v>
                </c:pt>
                <c:pt idx="194">
                  <c:v>16</c:v>
                </c:pt>
                <c:pt idx="195">
                  <c:v>19</c:v>
                </c:pt>
                <c:pt idx="196">
                  <c:v>19.8</c:v>
                </c:pt>
                <c:pt idx="197">
                  <c:v>19.100000000000001</c:v>
                </c:pt>
                <c:pt idx="198">
                  <c:v>19.600000000000001</c:v>
                </c:pt>
                <c:pt idx="199">
                  <c:v>26.8</c:v>
                </c:pt>
                <c:pt idx="200">
                  <c:v>25.7</c:v>
                </c:pt>
                <c:pt idx="201">
                  <c:v>25.6</c:v>
                </c:pt>
                <c:pt idx="202">
                  <c:v>20</c:v>
                </c:pt>
                <c:pt idx="203">
                  <c:v>21</c:v>
                </c:pt>
                <c:pt idx="204">
                  <c:v>18</c:v>
                </c:pt>
                <c:pt idx="205">
                  <c:v>18.600000000000001</c:v>
                </c:pt>
                <c:pt idx="206">
                  <c:v>18.399999999999999</c:v>
                </c:pt>
                <c:pt idx="207">
                  <c:v>19.100000000000001</c:v>
                </c:pt>
                <c:pt idx="208">
                  <c:v>21</c:v>
                </c:pt>
                <c:pt idx="209">
                  <c:v>20.5</c:v>
                </c:pt>
                <c:pt idx="210">
                  <c:v>20.5</c:v>
                </c:pt>
                <c:pt idx="211">
                  <c:v>21.7</c:v>
                </c:pt>
                <c:pt idx="212">
                  <c:v>24.9</c:v>
                </c:pt>
                <c:pt idx="213">
                  <c:v>23.4</c:v>
                </c:pt>
                <c:pt idx="214">
                  <c:v>22.8</c:v>
                </c:pt>
                <c:pt idx="215">
                  <c:v>27</c:v>
                </c:pt>
                <c:pt idx="216">
                  <c:v>30.1</c:v>
                </c:pt>
                <c:pt idx="217">
                  <c:v>25.8</c:v>
                </c:pt>
                <c:pt idx="218">
                  <c:v>24.2</c:v>
                </c:pt>
                <c:pt idx="219">
                  <c:v>22.9</c:v>
                </c:pt>
                <c:pt idx="220">
                  <c:v>20.6</c:v>
                </c:pt>
                <c:pt idx="221">
                  <c:v>21.9</c:v>
                </c:pt>
                <c:pt idx="222">
                  <c:v>22.1</c:v>
                </c:pt>
                <c:pt idx="223">
                  <c:v>22.4</c:v>
                </c:pt>
                <c:pt idx="224">
                  <c:v>24.1</c:v>
                </c:pt>
                <c:pt idx="225">
                  <c:v>26</c:v>
                </c:pt>
                <c:pt idx="226">
                  <c:v>24.1</c:v>
                </c:pt>
                <c:pt idx="227">
                  <c:v>22.7</c:v>
                </c:pt>
                <c:pt idx="228">
                  <c:v>21.4</c:v>
                </c:pt>
                <c:pt idx="229">
                  <c:v>22.6</c:v>
                </c:pt>
                <c:pt idx="230">
                  <c:v>23</c:v>
                </c:pt>
                <c:pt idx="231">
                  <c:v>26.5</c:v>
                </c:pt>
                <c:pt idx="232">
                  <c:v>25.5</c:v>
                </c:pt>
                <c:pt idx="233">
                  <c:v>24.5</c:v>
                </c:pt>
                <c:pt idx="234">
                  <c:v>27.6</c:v>
                </c:pt>
                <c:pt idx="235">
                  <c:v>20.2</c:v>
                </c:pt>
                <c:pt idx="236">
                  <c:v>21.2</c:v>
                </c:pt>
                <c:pt idx="237">
                  <c:v>21</c:v>
                </c:pt>
                <c:pt idx="238">
                  <c:v>23.9</c:v>
                </c:pt>
                <c:pt idx="239">
                  <c:v>29.5</c:v>
                </c:pt>
                <c:pt idx="240">
                  <c:v>30.5</c:v>
                </c:pt>
                <c:pt idx="241">
                  <c:v>23.7</c:v>
                </c:pt>
                <c:pt idx="242">
                  <c:v>24.1</c:v>
                </c:pt>
                <c:pt idx="243">
                  <c:v>23.8</c:v>
                </c:pt>
                <c:pt idx="244">
                  <c:v>24</c:v>
                </c:pt>
                <c:pt idx="245">
                  <c:v>26</c:v>
                </c:pt>
                <c:pt idx="246">
                  <c:v>25</c:v>
                </c:pt>
                <c:pt idx="247">
                  <c:v>27</c:v>
                </c:pt>
                <c:pt idx="248">
                  <c:v>27.4</c:v>
                </c:pt>
                <c:pt idx="249">
                  <c:v>26.1</c:v>
                </c:pt>
                <c:pt idx="250">
                  <c:v>27.5</c:v>
                </c:pt>
                <c:pt idx="251">
                  <c:v>29.5</c:v>
                </c:pt>
                <c:pt idx="252">
                  <c:v>30</c:v>
                </c:pt>
                <c:pt idx="253">
                  <c:v>24</c:v>
                </c:pt>
                <c:pt idx="254">
                  <c:v>21.5</c:v>
                </c:pt>
                <c:pt idx="255">
                  <c:v>23</c:v>
                </c:pt>
                <c:pt idx="256">
                  <c:v>26.6</c:v>
                </c:pt>
                <c:pt idx="257">
                  <c:v>31.5</c:v>
                </c:pt>
                <c:pt idx="258">
                  <c:v>32.799999999999997</c:v>
                </c:pt>
                <c:pt idx="259">
                  <c:v>30.3</c:v>
                </c:pt>
                <c:pt idx="260">
                  <c:v>26.5</c:v>
                </c:pt>
                <c:pt idx="261">
                  <c:v>28</c:v>
                </c:pt>
                <c:pt idx="262">
                  <c:v>26.5</c:v>
                </c:pt>
                <c:pt idx="263">
                  <c:v>29</c:v>
                </c:pt>
                <c:pt idx="264">
                  <c:v>29.6</c:v>
                </c:pt>
                <c:pt idx="265">
                  <c:v>26.9</c:v>
                </c:pt>
                <c:pt idx="266">
                  <c:v>30.9</c:v>
                </c:pt>
                <c:pt idx="267">
                  <c:v>27</c:v>
                </c:pt>
                <c:pt idx="268">
                  <c:v>32.5</c:v>
                </c:pt>
                <c:pt idx="269">
                  <c:v>34</c:v>
                </c:pt>
                <c:pt idx="270">
                  <c:v>32.6</c:v>
                </c:pt>
                <c:pt idx="271">
                  <c:v>32</c:v>
                </c:pt>
                <c:pt idx="272">
                  <c:v>32.200000000000003</c:v>
                </c:pt>
                <c:pt idx="273">
                  <c:v>30.4</c:v>
                </c:pt>
                <c:pt idx="274">
                  <c:v>32.4</c:v>
                </c:pt>
                <c:pt idx="275">
                  <c:v>30.9</c:v>
                </c:pt>
                <c:pt idx="276">
                  <c:v>29.7</c:v>
                </c:pt>
                <c:pt idx="277">
                  <c:v>28.4</c:v>
                </c:pt>
                <c:pt idx="278">
                  <c:v>29</c:v>
                </c:pt>
                <c:pt idx="279">
                  <c:v>32.799999999999997</c:v>
                </c:pt>
                <c:pt idx="280">
                  <c:v>32.200000000000003</c:v>
                </c:pt>
                <c:pt idx="281">
                  <c:v>32.1</c:v>
                </c:pt>
                <c:pt idx="282">
                  <c:v>27.2</c:v>
                </c:pt>
                <c:pt idx="283">
                  <c:v>28.3</c:v>
                </c:pt>
                <c:pt idx="284">
                  <c:v>29.5</c:v>
                </c:pt>
                <c:pt idx="285">
                  <c:v>33</c:v>
                </c:pt>
                <c:pt idx="286">
                  <c:v>29.8</c:v>
                </c:pt>
                <c:pt idx="287">
                  <c:v>31</c:v>
                </c:pt>
                <c:pt idx="288">
                  <c:v>36.9</c:v>
                </c:pt>
                <c:pt idx="289">
                  <c:v>28</c:v>
                </c:pt>
                <c:pt idx="290">
                  <c:v>23.4</c:v>
                </c:pt>
                <c:pt idx="291">
                  <c:v>26.7</c:v>
                </c:pt>
                <c:pt idx="292">
                  <c:v>28.5</c:v>
                </c:pt>
                <c:pt idx="293">
                  <c:v>30.5</c:v>
                </c:pt>
                <c:pt idx="294">
                  <c:v>33</c:v>
                </c:pt>
                <c:pt idx="295">
                  <c:v>22.2</c:v>
                </c:pt>
                <c:pt idx="296">
                  <c:v>21.5</c:v>
                </c:pt>
                <c:pt idx="297">
                  <c:v>27.7</c:v>
                </c:pt>
                <c:pt idx="298">
                  <c:v>31.7</c:v>
                </c:pt>
                <c:pt idx="299">
                  <c:v>30.5</c:v>
                </c:pt>
                <c:pt idx="300">
                  <c:v>26.5</c:v>
                </c:pt>
                <c:pt idx="301">
                  <c:v>26.5</c:v>
                </c:pt>
                <c:pt idx="302">
                  <c:v>26</c:v>
                </c:pt>
                <c:pt idx="303">
                  <c:v>31</c:v>
                </c:pt>
                <c:pt idx="304">
                  <c:v>30.2</c:v>
                </c:pt>
                <c:pt idx="305">
                  <c:v>28.6</c:v>
                </c:pt>
                <c:pt idx="306">
                  <c:v>29</c:v>
                </c:pt>
                <c:pt idx="307">
                  <c:v>34</c:v>
                </c:pt>
                <c:pt idx="308">
                  <c:v>36</c:v>
                </c:pt>
                <c:pt idx="309">
                  <c:v>33.6</c:v>
                </c:pt>
                <c:pt idx="310">
                  <c:v>41</c:v>
                </c:pt>
                <c:pt idx="311">
                  <c:v>32.4</c:v>
                </c:pt>
                <c:pt idx="312">
                  <c:v>34.5</c:v>
                </c:pt>
                <c:pt idx="313">
                  <c:v>31.3</c:v>
                </c:pt>
                <c:pt idx="314">
                  <c:v>33.200000000000003</c:v>
                </c:pt>
                <c:pt idx="315">
                  <c:v>33</c:v>
                </c:pt>
                <c:pt idx="316">
                  <c:v>36.799999999999997</c:v>
                </c:pt>
                <c:pt idx="317">
                  <c:v>28.6</c:v>
                </c:pt>
                <c:pt idx="318">
                  <c:v>27.4</c:v>
                </c:pt>
                <c:pt idx="319">
                  <c:v>28.3</c:v>
                </c:pt>
                <c:pt idx="320">
                  <c:v>30.9</c:v>
                </c:pt>
                <c:pt idx="321">
                  <c:v>31.5</c:v>
                </c:pt>
                <c:pt idx="322">
                  <c:v>31.5</c:v>
                </c:pt>
                <c:pt idx="323">
                  <c:v>34.4</c:v>
                </c:pt>
                <c:pt idx="324">
                  <c:v>28</c:v>
                </c:pt>
                <c:pt idx="325">
                  <c:v>28.3</c:v>
                </c:pt>
                <c:pt idx="326">
                  <c:v>28.3</c:v>
                </c:pt>
                <c:pt idx="327">
                  <c:v>29.3</c:v>
                </c:pt>
                <c:pt idx="328">
                  <c:v>30.4</c:v>
                </c:pt>
                <c:pt idx="329">
                  <c:v>32</c:v>
                </c:pt>
                <c:pt idx="330">
                  <c:v>35.299999999999997</c:v>
                </c:pt>
                <c:pt idx="331">
                  <c:v>27.5</c:v>
                </c:pt>
                <c:pt idx="332">
                  <c:v>31.5</c:v>
                </c:pt>
                <c:pt idx="333">
                  <c:v>31.2</c:v>
                </c:pt>
                <c:pt idx="334">
                  <c:v>27.9</c:v>
                </c:pt>
                <c:pt idx="335">
                  <c:v>26.5</c:v>
                </c:pt>
                <c:pt idx="336">
                  <c:v>28.7</c:v>
                </c:pt>
                <c:pt idx="337">
                  <c:v>36</c:v>
                </c:pt>
                <c:pt idx="338">
                  <c:v>32.5</c:v>
                </c:pt>
                <c:pt idx="339">
                  <c:v>29.5</c:v>
                </c:pt>
                <c:pt idx="340">
                  <c:v>30</c:v>
                </c:pt>
                <c:pt idx="341">
                  <c:v>27</c:v>
                </c:pt>
                <c:pt idx="342">
                  <c:v>28.8</c:v>
                </c:pt>
                <c:pt idx="343">
                  <c:v>28.7</c:v>
                </c:pt>
                <c:pt idx="344">
                  <c:v>27</c:v>
                </c:pt>
                <c:pt idx="345">
                  <c:v>21.5</c:v>
                </c:pt>
                <c:pt idx="346">
                  <c:v>29</c:v>
                </c:pt>
                <c:pt idx="347">
                  <c:v>32.5</c:v>
                </c:pt>
                <c:pt idx="348">
                  <c:v>32.6</c:v>
                </c:pt>
                <c:pt idx="349">
                  <c:v>35.200000000000003</c:v>
                </c:pt>
                <c:pt idx="350">
                  <c:v>31.8</c:v>
                </c:pt>
                <c:pt idx="351">
                  <c:v>33.5</c:v>
                </c:pt>
                <c:pt idx="352">
                  <c:v>32</c:v>
                </c:pt>
                <c:pt idx="353">
                  <c:v>33</c:v>
                </c:pt>
                <c:pt idx="354">
                  <c:v>32</c:v>
                </c:pt>
                <c:pt idx="355">
                  <c:v>33.799999999999997</c:v>
                </c:pt>
                <c:pt idx="356">
                  <c:v>30.3</c:v>
                </c:pt>
                <c:pt idx="357">
                  <c:v>29.8</c:v>
                </c:pt>
                <c:pt idx="358">
                  <c:v>32.799999999999997</c:v>
                </c:pt>
                <c:pt idx="359">
                  <c:v>32</c:v>
                </c:pt>
                <c:pt idx="360">
                  <c:v>31.5</c:v>
                </c:pt>
                <c:pt idx="361">
                  <c:v>32.299999999999997</c:v>
                </c:pt>
                <c:pt idx="362">
                  <c:v>31.8</c:v>
                </c:pt>
                <c:pt idx="363">
                  <c:v>30.7</c:v>
                </c:pt>
                <c:pt idx="364">
                  <c:v>30.9</c:v>
                </c:pt>
              </c:numCache>
            </c:numRef>
          </c:yVal>
        </c:ser>
        <c:axId val="126992384"/>
        <c:axId val="126990592"/>
      </c:scatterChart>
      <c:valAx>
        <c:axId val="126983168"/>
        <c:scaling>
          <c:orientation val="minMax"/>
        </c:scaling>
        <c:axPos val="b"/>
        <c:numFmt formatCode="d\-mmm\-yy" sourceLinked="1"/>
        <c:tickLblPos val="nextTo"/>
        <c:crossAx val="126989056"/>
        <c:crosses val="autoZero"/>
        <c:crossBetween val="midCat"/>
      </c:valAx>
      <c:valAx>
        <c:axId val="126989056"/>
        <c:scaling>
          <c:orientation val="minMax"/>
        </c:scaling>
        <c:axPos val="l"/>
        <c:majorGridlines/>
        <c:numFmt formatCode="General" sourceLinked="1"/>
        <c:tickLblPos val="nextTo"/>
        <c:crossAx val="126983168"/>
        <c:crosses val="autoZero"/>
        <c:crossBetween val="midCat"/>
      </c:valAx>
      <c:valAx>
        <c:axId val="126990592"/>
        <c:scaling>
          <c:orientation val="minMax"/>
        </c:scaling>
        <c:axPos val="r"/>
        <c:numFmt formatCode="General" sourceLinked="1"/>
        <c:tickLblPos val="nextTo"/>
        <c:crossAx val="126992384"/>
        <c:crosses val="max"/>
        <c:crossBetween val="midCat"/>
      </c:valAx>
      <c:valAx>
        <c:axId val="126992384"/>
        <c:scaling>
          <c:orientation val="minMax"/>
        </c:scaling>
        <c:delete val="1"/>
        <c:axPos val="b"/>
        <c:numFmt formatCode="d\-mmm\-yy" sourceLinked="1"/>
        <c:tickLblPos val="none"/>
        <c:crossAx val="12699059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/>
      <c:scatterChart>
        <c:scatterStyle val="lineMarker"/>
        <c:ser>
          <c:idx val="0"/>
          <c:order val="0"/>
          <c:spPr>
            <a:ln w="28575">
              <a:noFill/>
            </a:ln>
          </c:spPr>
          <c:xVal>
            <c:numRef>
              <c:f>'CSM63'!$AM$15:$AM$17</c:f>
              <c:numCache>
                <c:formatCode>0.00</c:formatCode>
                <c:ptCount val="3"/>
                <c:pt idx="0">
                  <c:v>15.495819091796875</c:v>
                </c:pt>
                <c:pt idx="1">
                  <c:v>15.263559341430664</c:v>
                </c:pt>
                <c:pt idx="2">
                  <c:v>15.80424690246582</c:v>
                </c:pt>
              </c:numCache>
            </c:numRef>
          </c:xVal>
          <c:yVal>
            <c:numRef>
              <c:f>'CSM63'!$AD$15:$AD$17</c:f>
              <c:numCache>
                <c:formatCode>0.00</c:formatCode>
                <c:ptCount val="3"/>
                <c:pt idx="0">
                  <c:v>-67.172576904296875</c:v>
                </c:pt>
                <c:pt idx="1">
                  <c:v>-68.899999618530273</c:v>
                </c:pt>
                <c:pt idx="2">
                  <c:v>-71.618470191955566</c:v>
                </c:pt>
              </c:numCache>
            </c:numRef>
          </c:yVal>
        </c:ser>
        <c:ser>
          <c:idx val="1"/>
          <c:order val="1"/>
          <c:spPr>
            <a:ln w="28575">
              <a:noFill/>
            </a:ln>
          </c:spPr>
          <c:xVal>
            <c:numRef>
              <c:f>'CSM63'!$AM$18:$AM$20</c:f>
              <c:numCache>
                <c:formatCode>0.00</c:formatCode>
                <c:ptCount val="3"/>
                <c:pt idx="0">
                  <c:v>15.532522201538086</c:v>
                </c:pt>
                <c:pt idx="1">
                  <c:v>16.168184280395508</c:v>
                </c:pt>
                <c:pt idx="2">
                  <c:v>15.263712882995605</c:v>
                </c:pt>
              </c:numCache>
            </c:numRef>
          </c:xVal>
          <c:yVal>
            <c:numRef>
              <c:f>'CSM63'!$AD$18:$AD$20</c:f>
              <c:numCache>
                <c:formatCode>0.00</c:formatCode>
                <c:ptCount val="3"/>
                <c:pt idx="0">
                  <c:v>-75.63714599609375</c:v>
                </c:pt>
                <c:pt idx="1">
                  <c:v>-73.5</c:v>
                </c:pt>
                <c:pt idx="2">
                  <c:v>-76.80000114440918</c:v>
                </c:pt>
              </c:numCache>
            </c:numRef>
          </c:yVal>
        </c:ser>
        <c:ser>
          <c:idx val="2"/>
          <c:order val="2"/>
          <c:spPr>
            <a:ln w="28575">
              <a:noFill/>
            </a:ln>
          </c:spPr>
          <c:xVal>
            <c:numRef>
              <c:f>'CSM63'!$AM$21:$AM$23</c:f>
              <c:numCache>
                <c:formatCode>0.00</c:formatCode>
                <c:ptCount val="3"/>
                <c:pt idx="0">
                  <c:v>15.298031806945801</c:v>
                </c:pt>
                <c:pt idx="1">
                  <c:v>15.362142562866211</c:v>
                </c:pt>
              </c:numCache>
            </c:numRef>
          </c:xVal>
          <c:yVal>
            <c:numRef>
              <c:f>'CSM63'!$AD$21:$AD$23</c:f>
              <c:numCache>
                <c:formatCode>0.00</c:formatCode>
                <c:ptCount val="3"/>
                <c:pt idx="0">
                  <c:v>-70.496333122253418</c:v>
                </c:pt>
                <c:pt idx="1">
                  <c:v>-68.879386901855469</c:v>
                </c:pt>
              </c:numCache>
            </c:numRef>
          </c:yVal>
        </c:ser>
        <c:ser>
          <c:idx val="3"/>
          <c:order val="3"/>
          <c:spPr>
            <a:ln w="28575">
              <a:noFill/>
            </a:ln>
          </c:spPr>
          <c:xVal>
            <c:numRef>
              <c:f>'CSM63'!$AM$24:$AM$26</c:f>
              <c:numCache>
                <c:formatCode>General</c:formatCode>
                <c:ptCount val="3"/>
              </c:numCache>
            </c:numRef>
          </c:xVal>
          <c:yVal>
            <c:numRef>
              <c:f>'CSM63'!$AD$24:$AD$26</c:f>
              <c:numCache>
                <c:formatCode>General</c:formatCode>
                <c:ptCount val="3"/>
              </c:numCache>
            </c:numRef>
          </c:yVal>
        </c:ser>
        <c:axId val="127009536"/>
        <c:axId val="127011072"/>
      </c:scatterChart>
      <c:valAx>
        <c:axId val="127009536"/>
        <c:scaling>
          <c:orientation val="minMax"/>
        </c:scaling>
        <c:axPos val="b"/>
        <c:numFmt formatCode="0.00" sourceLinked="1"/>
        <c:tickLblPos val="nextTo"/>
        <c:crossAx val="127011072"/>
        <c:crosses val="autoZero"/>
        <c:crossBetween val="midCat"/>
      </c:valAx>
      <c:valAx>
        <c:axId val="127011072"/>
        <c:scaling>
          <c:orientation val="minMax"/>
        </c:scaling>
        <c:axPos val="l"/>
        <c:majorGridlines/>
        <c:numFmt formatCode="0.00" sourceLinked="1"/>
        <c:tickLblPos val="nextTo"/>
        <c:crossAx val="12700953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title>
      <c:layout/>
    </c:title>
    <c:plotArea>
      <c:layout/>
      <c:scatterChart>
        <c:scatterStyle val="lineMarker"/>
        <c:ser>
          <c:idx val="0"/>
          <c:order val="0"/>
          <c:tx>
            <c:strRef>
              <c:f>'CSM63'!$S$14</c:f>
              <c:strCache>
                <c:ptCount val="1"/>
                <c:pt idx="0">
                  <c:v>FloweringDAS</c:v>
                </c:pt>
              </c:strCache>
            </c:strRef>
          </c:tx>
          <c:spPr>
            <a:ln w="28575">
              <a:noFill/>
            </a:ln>
          </c:spPr>
          <c:xVal>
            <c:numRef>
              <c:f>'CSM63'!$O$15:$O$22</c:f>
              <c:numCache>
                <c:formatCode>d/mm/yyyy</c:formatCode>
                <c:ptCount val="8"/>
                <c:pt idx="0">
                  <c:v>33464</c:v>
                </c:pt>
                <c:pt idx="1">
                  <c:v>33583</c:v>
                </c:pt>
                <c:pt idx="2">
                  <c:v>33289</c:v>
                </c:pt>
                <c:pt idx="3">
                  <c:v>33269</c:v>
                </c:pt>
                <c:pt idx="4">
                  <c:v>33309</c:v>
                </c:pt>
                <c:pt idx="5">
                  <c:v>33549</c:v>
                </c:pt>
                <c:pt idx="6">
                  <c:v>33521</c:v>
                </c:pt>
                <c:pt idx="7">
                  <c:v>33500</c:v>
                </c:pt>
              </c:numCache>
            </c:numRef>
          </c:xVal>
          <c:yVal>
            <c:numRef>
              <c:f>'CSM63'!$S$15:$S$22</c:f>
              <c:numCache>
                <c:formatCode>General</c:formatCode>
                <c:ptCount val="8"/>
                <c:pt idx="0">
                  <c:v>89</c:v>
                </c:pt>
                <c:pt idx="1">
                  <c:v>56</c:v>
                </c:pt>
                <c:pt idx="2">
                  <c:v>66</c:v>
                </c:pt>
                <c:pt idx="3">
                  <c:v>60</c:v>
                </c:pt>
                <c:pt idx="4">
                  <c:v>74</c:v>
                </c:pt>
                <c:pt idx="5">
                  <c:v>59</c:v>
                </c:pt>
                <c:pt idx="6">
                  <c:v>65</c:v>
                </c:pt>
                <c:pt idx="7">
                  <c:v>67</c:v>
                </c:pt>
              </c:numCache>
            </c:numRef>
          </c:yVal>
        </c:ser>
        <c:axId val="67316736"/>
        <c:axId val="67315200"/>
      </c:scatterChart>
      <c:valAx>
        <c:axId val="67316736"/>
        <c:scaling>
          <c:orientation val="minMax"/>
        </c:scaling>
        <c:axPos val="b"/>
        <c:numFmt formatCode="d/mm/yyyy" sourceLinked="1"/>
        <c:tickLblPos val="nextTo"/>
        <c:crossAx val="67315200"/>
        <c:crosses val="autoZero"/>
        <c:crossBetween val="midCat"/>
      </c:valAx>
      <c:valAx>
        <c:axId val="67315200"/>
        <c:scaling>
          <c:orientation val="minMax"/>
        </c:scaling>
        <c:axPos val="l"/>
        <c:majorGridlines/>
        <c:numFmt formatCode="General" sourceLinked="1"/>
        <c:tickLblPos val="nextTo"/>
        <c:crossAx val="67316736"/>
        <c:crosses val="autoZero"/>
        <c:crossBetween val="midCat"/>
      </c:valAx>
    </c:plotArea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53340</xdr:colOff>
      <xdr:row>0</xdr:row>
      <xdr:rowOff>68580</xdr:rowOff>
    </xdr:from>
    <xdr:to>
      <xdr:col>37</xdr:col>
      <xdr:colOff>533400</xdr:colOff>
      <xdr:row>12</xdr:row>
      <xdr:rowOff>22860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59</xdr:col>
      <xdr:colOff>198120</xdr:colOff>
      <xdr:row>8</xdr:row>
      <xdr:rowOff>76200</xdr:rowOff>
    </xdr:from>
    <xdr:to>
      <xdr:col>66</xdr:col>
      <xdr:colOff>502920</xdr:colOff>
      <xdr:row>24</xdr:row>
      <xdr:rowOff>137160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266700</xdr:colOff>
      <xdr:row>16</xdr:row>
      <xdr:rowOff>91440</xdr:rowOff>
    </xdr:from>
    <xdr:to>
      <xdr:col>9</xdr:col>
      <xdr:colOff>571500</xdr:colOff>
      <xdr:row>32</xdr:row>
      <xdr:rowOff>152400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28</xdr:col>
      <xdr:colOff>53340</xdr:colOff>
      <xdr:row>27</xdr:row>
      <xdr:rowOff>106680</xdr:rowOff>
    </xdr:from>
    <xdr:to>
      <xdr:col>33</xdr:col>
      <xdr:colOff>464820</xdr:colOff>
      <xdr:row>44</xdr:row>
      <xdr:rowOff>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464820</xdr:colOff>
      <xdr:row>0</xdr:row>
      <xdr:rowOff>129540</xdr:rowOff>
    </xdr:from>
    <xdr:to>
      <xdr:col>21</xdr:col>
      <xdr:colOff>53340</xdr:colOff>
      <xdr:row>12</xdr:row>
      <xdr:rowOff>137160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mailto:PP@EJ" TargetMode="Externa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G2792"/>
  <sheetViews>
    <sheetView tabSelected="1" topLeftCell="R1" workbookViewId="0">
      <selection activeCell="AC3" sqref="AC3"/>
    </sheetView>
  </sheetViews>
  <sheetFormatPr defaultRowHeight="13.2"/>
  <cols>
    <col min="1" max="1" width="9.77734375" bestFit="1" customWidth="1"/>
    <col min="14" max="14" width="11.21875" bestFit="1" customWidth="1"/>
    <col min="15" max="15" width="10.109375" bestFit="1" customWidth="1"/>
    <col min="16" max="18" width="10.109375" customWidth="1"/>
    <col min="19" max="19" width="12.5546875" bestFit="1" customWidth="1"/>
    <col min="20" max="20" width="9.5546875" bestFit="1" customWidth="1"/>
    <col min="21" max="21" width="9.5546875" customWidth="1"/>
    <col min="22" max="22" width="9.33203125" bestFit="1" customWidth="1"/>
    <col min="25" max="25" width="9.33203125" bestFit="1" customWidth="1"/>
    <col min="26" max="26" width="9.33203125" customWidth="1"/>
    <col min="28" max="28" width="10.109375" bestFit="1" customWidth="1"/>
    <col min="29" max="32" width="10.109375" customWidth="1"/>
    <col min="38" max="38" width="9.33203125" bestFit="1" customWidth="1"/>
    <col min="39" max="39" width="9.33203125" customWidth="1"/>
    <col min="50" max="50" width="10.109375" bestFit="1" customWidth="1"/>
    <col min="51" max="51" width="12.33203125" bestFit="1" customWidth="1"/>
  </cols>
  <sheetData>
    <row r="1" spans="1:59">
      <c r="M1">
        <v>0</v>
      </c>
      <c r="N1">
        <v>0</v>
      </c>
      <c r="W1" t="s">
        <v>46</v>
      </c>
      <c r="Y1">
        <v>50</v>
      </c>
      <c r="AM1" s="11"/>
      <c r="AN1" s="11" t="s">
        <v>50</v>
      </c>
      <c r="AO1" s="11"/>
      <c r="AP1" s="11"/>
    </row>
    <row r="2" spans="1:59">
      <c r="M2">
        <v>40</v>
      </c>
      <c r="N2">
        <v>40</v>
      </c>
      <c r="W2" t="s">
        <v>16</v>
      </c>
      <c r="Y2">
        <v>250</v>
      </c>
      <c r="AM2" s="11" t="s">
        <v>4</v>
      </c>
      <c r="AN2" s="11">
        <v>110</v>
      </c>
      <c r="AO2" s="11"/>
      <c r="AP2" s="11"/>
    </row>
    <row r="3" spans="1:59">
      <c r="W3" t="s">
        <v>22</v>
      </c>
      <c r="Y3">
        <v>30</v>
      </c>
      <c r="AM3" s="11" t="s">
        <v>51</v>
      </c>
      <c r="AN3" s="11">
        <v>200</v>
      </c>
      <c r="AO3" s="11"/>
      <c r="AP3" s="11"/>
    </row>
    <row r="4" spans="1:59">
      <c r="W4" t="s">
        <v>23</v>
      </c>
      <c r="Y4">
        <v>42</v>
      </c>
      <c r="Z4">
        <v>20</v>
      </c>
      <c r="AM4" s="11"/>
      <c r="AN4" s="11"/>
      <c r="AO4" s="11" t="s">
        <v>57</v>
      </c>
      <c r="AP4" s="11" t="s">
        <v>58</v>
      </c>
      <c r="AY4" t="s">
        <v>9</v>
      </c>
      <c r="AZ4" t="s">
        <v>37</v>
      </c>
      <c r="BA4" t="s">
        <v>38</v>
      </c>
      <c r="BB4" t="s">
        <v>39</v>
      </c>
      <c r="BC4" t="s">
        <v>40</v>
      </c>
      <c r="BD4" t="s">
        <v>41</v>
      </c>
      <c r="BE4" t="s">
        <v>42</v>
      </c>
      <c r="BF4" t="s">
        <v>43</v>
      </c>
      <c r="BG4" t="s">
        <v>44</v>
      </c>
    </row>
    <row r="5" spans="1:59">
      <c r="W5" t="s">
        <v>24</v>
      </c>
      <c r="Y5">
        <v>3.4</v>
      </c>
      <c r="AM5" s="11">
        <v>0</v>
      </c>
      <c r="AN5" s="11">
        <f>AN6</f>
        <v>110</v>
      </c>
      <c r="AO5" s="11"/>
      <c r="AP5" s="11"/>
      <c r="AY5" s="3">
        <v>41464</v>
      </c>
      <c r="AZ5">
        <v>486.75</v>
      </c>
      <c r="BA5" t="s">
        <v>45</v>
      </c>
      <c r="BB5" t="s">
        <v>45</v>
      </c>
      <c r="BC5" t="s">
        <v>45</v>
      </c>
      <c r="BD5">
        <v>710.625</v>
      </c>
      <c r="BE5">
        <v>0.67</v>
      </c>
      <c r="BF5">
        <v>9.1</v>
      </c>
      <c r="BG5" t="s">
        <v>45</v>
      </c>
    </row>
    <row r="6" spans="1:59">
      <c r="B6" t="s">
        <v>5</v>
      </c>
      <c r="C6">
        <v>0</v>
      </c>
      <c r="D6">
        <v>18</v>
      </c>
      <c r="E6">
        <v>26</v>
      </c>
      <c r="F6">
        <v>34</v>
      </c>
      <c r="W6" t="s">
        <v>25</v>
      </c>
      <c r="Y6">
        <v>1</v>
      </c>
      <c r="AD6" t="s">
        <v>60</v>
      </c>
      <c r="AM6" s="11">
        <v>12.5</v>
      </c>
      <c r="AN6" s="11">
        <f>AN2</f>
        <v>110</v>
      </c>
      <c r="AO6" s="11"/>
      <c r="AP6" s="11"/>
      <c r="AY6" s="3">
        <v>41474</v>
      </c>
      <c r="AZ6">
        <v>2046.75</v>
      </c>
      <c r="BA6" t="s">
        <v>45</v>
      </c>
      <c r="BB6" t="s">
        <v>45</v>
      </c>
      <c r="BC6" t="s">
        <v>45</v>
      </c>
      <c r="BD6">
        <v>1292.5</v>
      </c>
      <c r="BE6">
        <v>1.655</v>
      </c>
      <c r="BF6">
        <v>11.6</v>
      </c>
      <c r="BG6" t="s">
        <v>45</v>
      </c>
    </row>
    <row r="7" spans="1:59">
      <c r="B7" t="s">
        <v>4</v>
      </c>
      <c r="C7">
        <v>0</v>
      </c>
      <c r="D7">
        <v>10</v>
      </c>
      <c r="E7">
        <v>18</v>
      </c>
      <c r="F7">
        <v>26</v>
      </c>
      <c r="H7" t="s">
        <v>8</v>
      </c>
      <c r="I7">
        <v>12.52</v>
      </c>
      <c r="W7" t="s">
        <v>26</v>
      </c>
      <c r="Y7">
        <v>21</v>
      </c>
      <c r="AD7" t="e">
        <f>(AD15-AD17)/(U15-U17)</f>
        <v>#DIV/0!</v>
      </c>
      <c r="AE7" t="e">
        <f>(AE15-AE17)/(U15-U17)</f>
        <v>#DIV/0!</v>
      </c>
      <c r="AM7" s="11">
        <v>24</v>
      </c>
      <c r="AN7" s="11">
        <f>AN6+($AM$7-$AM$6)*AN3</f>
        <v>2410</v>
      </c>
      <c r="AO7" s="11"/>
      <c r="AP7" s="11"/>
      <c r="AY7" s="3">
        <v>41484</v>
      </c>
      <c r="AZ7">
        <v>4067</v>
      </c>
      <c r="BA7" t="s">
        <v>45</v>
      </c>
      <c r="BB7" t="s">
        <v>45</v>
      </c>
      <c r="BC7" t="s">
        <v>45</v>
      </c>
      <c r="BD7">
        <v>2055</v>
      </c>
      <c r="BE7">
        <v>2.2999999999999998</v>
      </c>
      <c r="BF7">
        <v>13.1</v>
      </c>
      <c r="BG7" t="s">
        <v>45</v>
      </c>
    </row>
    <row r="8" spans="1:59">
      <c r="W8" t="s">
        <v>28</v>
      </c>
      <c r="Y8">
        <v>4</v>
      </c>
      <c r="AD8" t="e">
        <f>(AD18-AD20)/(U18-U20)</f>
        <v>#DIV/0!</v>
      </c>
      <c r="AE8" t="e">
        <f>(AE18-AE20)/(U18-U20)</f>
        <v>#DIV/0!</v>
      </c>
      <c r="AM8" s="11">
        <v>24</v>
      </c>
      <c r="AN8" s="11">
        <f>AN7</f>
        <v>2410</v>
      </c>
      <c r="AO8" s="11"/>
      <c r="AP8" s="11"/>
      <c r="AY8" s="3">
        <v>41492</v>
      </c>
      <c r="AZ8" t="s">
        <v>45</v>
      </c>
      <c r="BA8" t="s">
        <v>45</v>
      </c>
      <c r="BB8" t="s">
        <v>45</v>
      </c>
      <c r="BC8" t="s">
        <v>45</v>
      </c>
      <c r="BD8" t="s">
        <v>45</v>
      </c>
      <c r="BE8" t="s">
        <v>45</v>
      </c>
      <c r="BG8">
        <v>6</v>
      </c>
    </row>
    <row r="9" spans="1:59">
      <c r="W9" t="s">
        <v>32</v>
      </c>
      <c r="Y9">
        <v>15</v>
      </c>
      <c r="AD9" t="e">
        <f>(AD21-AD23)/(U21-U23)</f>
        <v>#DIV/0!</v>
      </c>
      <c r="AE9" t="e">
        <f>(AE21-AE23)/(U21-U23)</f>
        <v>#DIV/0!</v>
      </c>
      <c r="AY9" s="3">
        <v>41498</v>
      </c>
      <c r="AZ9">
        <v>12900</v>
      </c>
      <c r="BA9" t="s">
        <v>45</v>
      </c>
      <c r="BB9" t="s">
        <v>45</v>
      </c>
      <c r="BC9" t="s">
        <v>45</v>
      </c>
      <c r="BD9">
        <v>2900</v>
      </c>
      <c r="BE9">
        <v>3.17</v>
      </c>
      <c r="BF9">
        <v>15.1</v>
      </c>
      <c r="BG9" t="s">
        <v>45</v>
      </c>
    </row>
    <row r="10" spans="1:59">
      <c r="W10" t="s">
        <v>33</v>
      </c>
      <c r="Y10">
        <v>0.6</v>
      </c>
      <c r="AD10" t="e">
        <f>(AD24-AD26)/(U24-U26)</f>
        <v>#DIV/0!</v>
      </c>
      <c r="AE10" t="e">
        <f>(AE24-AE26)/(U24-U26)</f>
        <v>#DIV/0!</v>
      </c>
      <c r="AX10" s="3">
        <f>AY10-BB10</f>
        <v>41439</v>
      </c>
      <c r="AY10" s="3">
        <v>41506</v>
      </c>
      <c r="AZ10" t="s">
        <v>45</v>
      </c>
      <c r="BA10" t="s">
        <v>45</v>
      </c>
      <c r="BB10">
        <v>67</v>
      </c>
      <c r="BC10" t="s">
        <v>45</v>
      </c>
      <c r="BD10" t="s">
        <v>45</v>
      </c>
      <c r="BE10" t="s">
        <v>45</v>
      </c>
      <c r="BG10">
        <v>7</v>
      </c>
    </row>
    <row r="11" spans="1:59">
      <c r="W11" t="s">
        <v>34</v>
      </c>
      <c r="Y11">
        <v>70</v>
      </c>
      <c r="AY11" s="3">
        <v>41508</v>
      </c>
      <c r="AZ11">
        <v>11626.5</v>
      </c>
      <c r="BA11" t="s">
        <v>45</v>
      </c>
      <c r="BB11" t="s">
        <v>45</v>
      </c>
      <c r="BC11" t="s">
        <v>45</v>
      </c>
      <c r="BD11">
        <v>3146.875</v>
      </c>
      <c r="BE11">
        <v>2.7374999999999998</v>
      </c>
      <c r="BF11">
        <v>17.3</v>
      </c>
      <c r="BG11" t="s">
        <v>45</v>
      </c>
    </row>
    <row r="12" spans="1:59">
      <c r="W12" t="s">
        <v>35</v>
      </c>
      <c r="Y12">
        <f>Y9+Y10*Y11</f>
        <v>57</v>
      </c>
      <c r="AY12" s="3">
        <v>41519</v>
      </c>
      <c r="AZ12">
        <v>12150</v>
      </c>
      <c r="BA12" t="s">
        <v>45</v>
      </c>
      <c r="BB12" t="s">
        <v>45</v>
      </c>
      <c r="BC12" t="s">
        <v>45</v>
      </c>
      <c r="BD12">
        <v>3181.25</v>
      </c>
      <c r="BE12" t="s">
        <v>45</v>
      </c>
      <c r="BF12">
        <v>17.375</v>
      </c>
      <c r="BG12" t="s">
        <v>45</v>
      </c>
    </row>
    <row r="13" spans="1:59">
      <c r="C13">
        <v>-27.6</v>
      </c>
      <c r="AY13" s="3">
        <v>41537</v>
      </c>
      <c r="AZ13">
        <v>10325.51</v>
      </c>
      <c r="BA13">
        <v>1207</v>
      </c>
      <c r="BB13" t="s">
        <v>45</v>
      </c>
      <c r="BC13">
        <v>98</v>
      </c>
      <c r="BD13" t="s">
        <v>45</v>
      </c>
      <c r="BE13" t="s">
        <v>45</v>
      </c>
      <c r="BG13">
        <v>10</v>
      </c>
    </row>
    <row r="14" spans="1:59">
      <c r="A14" t="s">
        <v>9</v>
      </c>
      <c r="B14" t="s">
        <v>6</v>
      </c>
      <c r="C14" t="s">
        <v>7</v>
      </c>
      <c r="D14" t="s">
        <v>17</v>
      </c>
      <c r="E14" t="s">
        <v>0</v>
      </c>
      <c r="F14" t="s">
        <v>1</v>
      </c>
      <c r="G14" t="s">
        <v>2</v>
      </c>
      <c r="H14" t="s">
        <v>3</v>
      </c>
      <c r="I14" t="s">
        <v>4</v>
      </c>
      <c r="N14" t="s">
        <v>49</v>
      </c>
      <c r="O14" s="2" t="s">
        <v>10</v>
      </c>
      <c r="P14" s="2" t="s">
        <v>59</v>
      </c>
      <c r="Q14" s="2" t="s">
        <v>52</v>
      </c>
      <c r="R14" s="2" t="s">
        <v>53</v>
      </c>
      <c r="S14" s="2" t="s">
        <v>39</v>
      </c>
      <c r="T14" s="2" t="s">
        <v>19</v>
      </c>
      <c r="U14" s="2" t="s">
        <v>21</v>
      </c>
      <c r="V14" t="s">
        <v>11</v>
      </c>
      <c r="W14" t="s">
        <v>13</v>
      </c>
      <c r="X14" t="s">
        <v>14</v>
      </c>
      <c r="Y14" t="s">
        <v>12</v>
      </c>
      <c r="Z14" t="s">
        <v>56</v>
      </c>
      <c r="AA14" t="s">
        <v>15</v>
      </c>
      <c r="AB14" t="s">
        <v>18</v>
      </c>
      <c r="AC14" t="s">
        <v>54</v>
      </c>
      <c r="AD14" t="s">
        <v>47</v>
      </c>
      <c r="AE14" t="s">
        <v>61</v>
      </c>
      <c r="AF14" t="s">
        <v>55</v>
      </c>
      <c r="AG14" t="s">
        <v>20</v>
      </c>
      <c r="AH14" t="s">
        <v>47</v>
      </c>
      <c r="AI14" t="s">
        <v>21</v>
      </c>
      <c r="AJ14" t="s">
        <v>27</v>
      </c>
      <c r="AK14" t="s">
        <v>29</v>
      </c>
      <c r="AL14" t="s">
        <v>30</v>
      </c>
      <c r="AM14" s="4" t="s">
        <v>48</v>
      </c>
      <c r="AN14" t="s">
        <v>31</v>
      </c>
      <c r="AO14" t="s">
        <v>54</v>
      </c>
      <c r="AY14" s="3">
        <v>41402</v>
      </c>
      <c r="AZ14">
        <v>619.75</v>
      </c>
      <c r="BA14" t="s">
        <v>45</v>
      </c>
      <c r="BB14" t="s">
        <v>45</v>
      </c>
      <c r="BC14" t="s">
        <v>45</v>
      </c>
      <c r="BD14">
        <v>723.125</v>
      </c>
      <c r="BE14">
        <v>1.2849999999999999</v>
      </c>
      <c r="BF14">
        <v>8.4</v>
      </c>
      <c r="BG14" t="s">
        <v>45</v>
      </c>
    </row>
    <row r="15" spans="1:59">
      <c r="A15" s="1">
        <v>33239</v>
      </c>
      <c r="B15">
        <f>I15</f>
        <v>18.19999885559082</v>
      </c>
      <c r="C15">
        <f>day_length(F15,$I$7,$C$13)</f>
        <v>15.264097213745117</v>
      </c>
      <c r="D15" s="1">
        <f>A15</f>
        <v>33239</v>
      </c>
      <c r="E15">
        <f>YEAR(A15)</f>
        <v>1991</v>
      </c>
      <c r="F15" s="13">
        <f>A15-DATE(E15,1,1)+1</f>
        <v>1</v>
      </c>
      <c r="G15">
        <v>31.9</v>
      </c>
      <c r="H15">
        <v>20.5</v>
      </c>
      <c r="I15">
        <f t="shared" ref="I15:I78" si="0">tt(G15,H15,$C$6:$F$6,$C$7:$F$7)</f>
        <v>18.19999885559082</v>
      </c>
      <c r="N15" s="5" t="s">
        <v>62</v>
      </c>
      <c r="O15" s="6">
        <f>DATE(1991,1,1)+P15-1</f>
        <v>33464</v>
      </c>
      <c r="P15" s="12">
        <v>226</v>
      </c>
      <c r="Q15" s="7">
        <v>0</v>
      </c>
      <c r="R15" s="8">
        <f t="shared" ref="R15:R26" si="1">O15+Q15</f>
        <v>33464</v>
      </c>
      <c r="S15">
        <v>89</v>
      </c>
      <c r="T15" s="8">
        <f t="shared" ref="T15:T26" si="2">O15+S15</f>
        <v>33553</v>
      </c>
      <c r="U15" s="7"/>
      <c r="V15" s="8">
        <f t="shared" ref="V15:V26" si="3">O15+1</f>
        <v>33465</v>
      </c>
      <c r="W15" s="7">
        <f>VLOOKUP(V15,$A$15:$B$2792,2)</f>
        <v>2956.9331288337708</v>
      </c>
      <c r="X15" s="7">
        <f>W15+$Y$12</f>
        <v>3013.9331288337708</v>
      </c>
      <c r="Y15" s="8">
        <f t="shared" ref="Y15:Y26" si="4">VLOOKUP(X15,B15:D2792,3)</f>
        <v>33471</v>
      </c>
      <c r="Z15" s="7">
        <f>Y15-O15</f>
        <v>7</v>
      </c>
      <c r="AA15" s="7">
        <f t="shared" ref="AA15:AA26" si="5">X15+Y$2</f>
        <v>3263.9331288337708</v>
      </c>
      <c r="AB15" s="9">
        <f t="shared" ref="AB15:AB26" si="6">VLOOKUP(AA15,B15:D2792,3)</f>
        <v>33496</v>
      </c>
      <c r="AC15" s="7">
        <f>VLOOKUP(R15,$A$15:$B$2792,2)</f>
        <v>2946.7605519294739</v>
      </c>
      <c r="AD15" s="7">
        <f>AC15-X15</f>
        <v>-67.172576904296875</v>
      </c>
      <c r="AE15" s="7">
        <f>AG15-X15</f>
        <v>1064.4518728256226</v>
      </c>
      <c r="AF15" s="7">
        <f t="shared" ref="AF15:AF26" si="7">AG15-AC15</f>
        <v>1131.6244497299194</v>
      </c>
      <c r="AG15" s="5">
        <f t="shared" ref="AG15:AG26" si="8">VLOOKUP(T15,A15:B2792,2)</f>
        <v>4078.3850016593933</v>
      </c>
      <c r="AH15" s="7">
        <f t="shared" ref="AH15:AH26" si="9">AG15-X15-$Y$1</f>
        <v>1014.4518728256226</v>
      </c>
      <c r="AI15" s="5">
        <f>(AH15-($Y$5*$Y$4))/$Y$3+$Y$6+3.5</f>
        <v>33.555062427520753</v>
      </c>
      <c r="AJ15" s="5">
        <f>(AI15-$Y$8)*$Y$7</f>
        <v>620.65631097793585</v>
      </c>
      <c r="AK15" s="7">
        <f>AJ15+X15</f>
        <v>3634.5894398117066</v>
      </c>
      <c r="AL15" s="9">
        <f>VLOOKUP(AK15,$B$15:$D$2792,3)</f>
        <v>33523</v>
      </c>
      <c r="AM15" s="7">
        <f>LOOKUP(AL15,A$15:A$379,C$15:C$379)</f>
        <v>15.495819091796875</v>
      </c>
      <c r="AN15" s="7">
        <f>AK15-AA15</f>
        <v>370.65631097793585</v>
      </c>
      <c r="AO15" s="7">
        <f>X15+AH15</f>
        <v>4028.3850016593933</v>
      </c>
      <c r="AP15" s="7"/>
      <c r="AQ15" s="7"/>
      <c r="AR15" s="7"/>
      <c r="AS15" s="7"/>
      <c r="AT15" s="7"/>
      <c r="AU15" s="7"/>
      <c r="AV15" s="7"/>
      <c r="AW15" s="7"/>
      <c r="AY15" s="3">
        <v>41501</v>
      </c>
      <c r="AZ15">
        <v>1600</v>
      </c>
      <c r="BA15" t="s">
        <v>45</v>
      </c>
      <c r="BB15" t="s">
        <v>45</v>
      </c>
      <c r="BC15" t="s">
        <v>45</v>
      </c>
      <c r="BD15">
        <v>1217.5</v>
      </c>
      <c r="BE15">
        <v>1.345</v>
      </c>
      <c r="BF15">
        <v>10.8</v>
      </c>
      <c r="BG15" t="s">
        <v>45</v>
      </c>
    </row>
    <row r="16" spans="1:59">
      <c r="A16" s="1">
        <v>33240</v>
      </c>
      <c r="B16">
        <f t="shared" ref="B16:B79" si="10">B15+I16</f>
        <v>35.549999237060547</v>
      </c>
      <c r="C16">
        <f t="shared" ref="C16:C79" si="11">day_length(F16,$I$7,$C$13)</f>
        <v>15.264583587646484</v>
      </c>
      <c r="D16" s="1">
        <f t="shared" ref="D16:D79" si="12">A16</f>
        <v>33240</v>
      </c>
      <c r="E16">
        <f t="shared" ref="E16:E79" si="13">YEAR(A16)</f>
        <v>1991</v>
      </c>
      <c r="F16" s="13">
        <f t="shared" ref="F16:F79" si="14">A16-DATE(E16,1,1)+1</f>
        <v>2</v>
      </c>
      <c r="G16">
        <v>28.6</v>
      </c>
      <c r="H16">
        <v>22.1</v>
      </c>
      <c r="I16">
        <f t="shared" si="0"/>
        <v>17.350000381469727</v>
      </c>
      <c r="N16" s="5" t="s">
        <v>62</v>
      </c>
      <c r="O16" s="6">
        <f t="shared" ref="O16:O22" si="15">DATE(1991,1,1)+P16-1</f>
        <v>33583</v>
      </c>
      <c r="P16" s="12">
        <v>345</v>
      </c>
      <c r="Q16" s="7">
        <v>0</v>
      </c>
      <c r="R16" s="8">
        <f t="shared" ref="R16:R22" si="16">O16+Q16</f>
        <v>33583</v>
      </c>
      <c r="S16">
        <v>56</v>
      </c>
      <c r="T16" s="8">
        <f t="shared" si="2"/>
        <v>33639</v>
      </c>
      <c r="U16" s="7"/>
      <c r="V16" s="8">
        <f t="shared" si="3"/>
        <v>33584</v>
      </c>
      <c r="W16" s="7">
        <f t="shared" ref="W16:W22" si="17">VLOOKUP(V16,$A$15:$B$2792,2)</f>
        <v>4561.6883616447449</v>
      </c>
      <c r="X16" s="7">
        <f t="shared" ref="X16:X22" si="18">W16+$Y$12</f>
        <v>4618.6883616447449</v>
      </c>
      <c r="Y16" s="8">
        <f t="shared" ref="Y16:Y22" si="19">VLOOKUP(X16,B16:D2793,3)</f>
        <v>33587</v>
      </c>
      <c r="Z16" s="7">
        <f t="shared" ref="Z16:Z22" si="20">Y16-O16</f>
        <v>4</v>
      </c>
      <c r="AA16" s="7">
        <f t="shared" ref="AA16:AA22" si="21">X16+Y$2</f>
        <v>4868.6883616447449</v>
      </c>
      <c r="AB16" s="9">
        <f t="shared" ref="AB16:AB22" si="22">VLOOKUP(AA16,B16:D2793,3)</f>
        <v>33601</v>
      </c>
      <c r="AC16" s="7">
        <f t="shared" ref="AC16:AC22" si="23">VLOOKUP(R16,$A$15:$B$2792,2)</f>
        <v>4549.7883620262146</v>
      </c>
      <c r="AD16" s="7">
        <f t="shared" ref="AD16:AD22" si="24">AC16-X16</f>
        <v>-68.899999618530273</v>
      </c>
      <c r="AE16" s="7">
        <f t="shared" ref="AE16:AE22" si="25">AG16-X16</f>
        <v>904.36596012115479</v>
      </c>
      <c r="AF16" s="7">
        <f t="shared" ref="AF16:AF22" si="26">AG16-AC16</f>
        <v>973.26595973968506</v>
      </c>
      <c r="AG16" s="5">
        <f t="shared" ref="AG16:AG22" si="27">VLOOKUP(T16,A16:B2793,2)</f>
        <v>5523.0543217658997</v>
      </c>
      <c r="AH16" s="7">
        <f t="shared" ref="AH16:AH22" si="28">AG16-X16-$Y$1</f>
        <v>854.36596012115479</v>
      </c>
      <c r="AI16" s="5">
        <f t="shared" ref="AI16:AI22" si="29">(AH16-($Y$5*$Y$4))/$Y$3+$Y$6+3.5</f>
        <v>28.218865337371827</v>
      </c>
      <c r="AJ16" s="5">
        <f t="shared" ref="AJ16:AJ22" si="30">(AI16-$Y$8)*$Y$7</f>
        <v>508.59617208480836</v>
      </c>
      <c r="AK16" s="7">
        <f t="shared" ref="AK16:AK22" si="31">AJ16+X16</f>
        <v>5127.284533729553</v>
      </c>
      <c r="AL16" s="9">
        <f t="shared" ref="AL16:AL22" si="32">VLOOKUP(AK16,$B$15:$D$2792,3)</f>
        <v>33616</v>
      </c>
      <c r="AM16" s="7">
        <f t="shared" ref="AM16:AM22" si="33">LOOKUP(AL16,A$15:A$379,C$15:C$379)</f>
        <v>15.263559341430664</v>
      </c>
      <c r="AN16" s="7">
        <f t="shared" ref="AN16:AN22" si="34">AK16-AA16</f>
        <v>258.59617208480813</v>
      </c>
      <c r="AO16" s="7">
        <f t="shared" ref="AO16:AO22" si="35">X16+AH16</f>
        <v>5473.0543217658997</v>
      </c>
      <c r="AP16" s="7"/>
      <c r="AQ16" s="7"/>
      <c r="AR16" s="7"/>
      <c r="AS16" s="7"/>
      <c r="AT16" s="7"/>
      <c r="AU16" s="7"/>
      <c r="AV16" s="7"/>
      <c r="AW16" s="7"/>
      <c r="AY16" s="3">
        <v>41511</v>
      </c>
      <c r="AZ16">
        <v>2633.25</v>
      </c>
      <c r="BA16" t="s">
        <v>45</v>
      </c>
      <c r="BB16" t="s">
        <v>45</v>
      </c>
      <c r="BC16" t="s">
        <v>45</v>
      </c>
      <c r="BD16">
        <v>2037.5</v>
      </c>
      <c r="BE16">
        <v>1.69</v>
      </c>
      <c r="BF16">
        <v>14</v>
      </c>
      <c r="BG16" t="s">
        <v>45</v>
      </c>
    </row>
    <row r="17" spans="1:59">
      <c r="A17" s="1">
        <v>33241</v>
      </c>
      <c r="B17">
        <f t="shared" si="10"/>
        <v>53.149997711181641</v>
      </c>
      <c r="C17">
        <f t="shared" si="11"/>
        <v>15.26512336730957</v>
      </c>
      <c r="D17" s="1">
        <f t="shared" si="12"/>
        <v>33241</v>
      </c>
      <c r="E17">
        <f t="shared" si="13"/>
        <v>1991</v>
      </c>
      <c r="F17" s="13">
        <f t="shared" si="14"/>
        <v>3</v>
      </c>
      <c r="G17">
        <v>30.6</v>
      </c>
      <c r="H17">
        <v>20.6</v>
      </c>
      <c r="I17">
        <f t="shared" si="0"/>
        <v>17.599998474121094</v>
      </c>
      <c r="N17" s="5" t="s">
        <v>62</v>
      </c>
      <c r="O17" s="6">
        <f t="shared" si="15"/>
        <v>33289</v>
      </c>
      <c r="P17" s="12">
        <v>51</v>
      </c>
      <c r="Q17" s="7">
        <v>0</v>
      </c>
      <c r="R17" s="8">
        <f t="shared" si="16"/>
        <v>33289</v>
      </c>
      <c r="S17">
        <v>66</v>
      </c>
      <c r="T17" s="8">
        <f t="shared" si="2"/>
        <v>33355</v>
      </c>
      <c r="U17" s="7"/>
      <c r="V17" s="8">
        <f t="shared" si="3"/>
        <v>33290</v>
      </c>
      <c r="W17" s="7">
        <f t="shared" si="17"/>
        <v>931.72951507568359</v>
      </c>
      <c r="X17" s="7">
        <f t="shared" si="18"/>
        <v>988.72951507568359</v>
      </c>
      <c r="Y17" s="8">
        <f t="shared" si="19"/>
        <v>33293</v>
      </c>
      <c r="Z17" s="7">
        <f t="shared" si="20"/>
        <v>4</v>
      </c>
      <c r="AA17" s="7">
        <f t="shared" si="21"/>
        <v>1238.7295150756836</v>
      </c>
      <c r="AB17" s="9">
        <f t="shared" si="22"/>
        <v>33309</v>
      </c>
      <c r="AC17" s="7">
        <f t="shared" si="23"/>
        <v>917.11104488372803</v>
      </c>
      <c r="AD17" s="7">
        <f t="shared" si="24"/>
        <v>-71.618470191955566</v>
      </c>
      <c r="AE17" s="7">
        <f t="shared" si="25"/>
        <v>910.26322746276855</v>
      </c>
      <c r="AF17" s="7">
        <f t="shared" si="26"/>
        <v>981.88169765472412</v>
      </c>
      <c r="AG17" s="5">
        <f t="shared" si="27"/>
        <v>1898.9927425384521</v>
      </c>
      <c r="AH17" s="7">
        <f t="shared" si="28"/>
        <v>860.26322746276855</v>
      </c>
      <c r="AI17" s="5">
        <f t="shared" si="29"/>
        <v>28.41544091542562</v>
      </c>
      <c r="AJ17" s="5">
        <f t="shared" si="30"/>
        <v>512.72425922393802</v>
      </c>
      <c r="AK17" s="7">
        <f t="shared" si="31"/>
        <v>1501.4537742996217</v>
      </c>
      <c r="AL17" s="9">
        <f t="shared" si="32"/>
        <v>33326</v>
      </c>
      <c r="AM17" s="7">
        <f t="shared" si="33"/>
        <v>15.80424690246582</v>
      </c>
      <c r="AN17" s="7">
        <f t="shared" si="34"/>
        <v>262.72425922393813</v>
      </c>
      <c r="AO17" s="7">
        <f t="shared" si="35"/>
        <v>1848.9927425384521</v>
      </c>
      <c r="AP17" s="7"/>
      <c r="AQ17" s="7"/>
      <c r="AR17" s="7"/>
      <c r="AS17" s="7"/>
      <c r="AT17" s="7"/>
      <c r="AU17" s="7"/>
      <c r="AV17" s="7"/>
      <c r="AW17" s="7"/>
      <c r="AY17" s="3">
        <v>41515</v>
      </c>
      <c r="AZ17" t="s">
        <v>45</v>
      </c>
      <c r="BA17" t="s">
        <v>45</v>
      </c>
      <c r="BB17" t="s">
        <v>45</v>
      </c>
      <c r="BC17" t="s">
        <v>45</v>
      </c>
      <c r="BD17" t="s">
        <v>45</v>
      </c>
      <c r="BE17" t="s">
        <v>45</v>
      </c>
      <c r="BG17">
        <v>6</v>
      </c>
    </row>
    <row r="18" spans="1:59">
      <c r="A18" s="1">
        <v>33242</v>
      </c>
      <c r="B18">
        <f t="shared" si="10"/>
        <v>71.149999618530273</v>
      </c>
      <c r="C18">
        <f t="shared" si="11"/>
        <v>15.265718460083008</v>
      </c>
      <c r="D18" s="1">
        <f t="shared" si="12"/>
        <v>33242</v>
      </c>
      <c r="E18">
        <f t="shared" si="13"/>
        <v>1991</v>
      </c>
      <c r="F18" s="13">
        <f t="shared" si="14"/>
        <v>4</v>
      </c>
      <c r="G18">
        <v>31</v>
      </c>
      <c r="H18">
        <v>21</v>
      </c>
      <c r="I18">
        <f t="shared" si="0"/>
        <v>18.000001907348633</v>
      </c>
      <c r="N18" s="5" t="s">
        <v>62</v>
      </c>
      <c r="O18" s="6">
        <f t="shared" si="15"/>
        <v>33269</v>
      </c>
      <c r="P18" s="12">
        <v>31</v>
      </c>
      <c r="Q18" s="7">
        <v>0</v>
      </c>
      <c r="R18" s="8">
        <f t="shared" si="16"/>
        <v>33269</v>
      </c>
      <c r="S18">
        <v>60</v>
      </c>
      <c r="T18" s="8">
        <f t="shared" si="2"/>
        <v>33329</v>
      </c>
      <c r="V18" s="8">
        <f t="shared" si="3"/>
        <v>33270</v>
      </c>
      <c r="W18" s="7">
        <f t="shared" si="17"/>
        <v>578.02754402160645</v>
      </c>
      <c r="X18" s="7">
        <f t="shared" si="18"/>
        <v>635.02754402160645</v>
      </c>
      <c r="Y18" s="8">
        <f t="shared" si="19"/>
        <v>33273</v>
      </c>
      <c r="Z18" s="7">
        <f t="shared" si="20"/>
        <v>4</v>
      </c>
      <c r="AA18" s="7">
        <f t="shared" si="21"/>
        <v>885.02754402160645</v>
      </c>
      <c r="AB18" s="9">
        <f t="shared" si="22"/>
        <v>33286</v>
      </c>
      <c r="AC18" s="7">
        <f t="shared" si="23"/>
        <v>559.3903980255127</v>
      </c>
      <c r="AD18" s="7">
        <f t="shared" si="24"/>
        <v>-75.63714599609375</v>
      </c>
      <c r="AE18" s="7">
        <f t="shared" si="25"/>
        <v>910.24731922149658</v>
      </c>
      <c r="AF18" s="7">
        <f t="shared" si="26"/>
        <v>985.88446521759033</v>
      </c>
      <c r="AG18" s="5">
        <f t="shared" si="27"/>
        <v>1545.274863243103</v>
      </c>
      <c r="AH18" s="7">
        <f t="shared" si="28"/>
        <v>860.24731922149658</v>
      </c>
      <c r="AI18" s="5">
        <f t="shared" si="29"/>
        <v>28.414910640716553</v>
      </c>
      <c r="AJ18" s="5">
        <f t="shared" si="30"/>
        <v>512.71312345504759</v>
      </c>
      <c r="AK18" s="7">
        <f t="shared" si="31"/>
        <v>1147.7406674766539</v>
      </c>
      <c r="AL18" s="9">
        <f t="shared" si="32"/>
        <v>33304</v>
      </c>
      <c r="AM18" s="7">
        <f t="shared" si="33"/>
        <v>15.532522201538086</v>
      </c>
      <c r="AN18" s="7">
        <f t="shared" si="34"/>
        <v>262.71312345504748</v>
      </c>
      <c r="AO18" s="7">
        <f t="shared" si="35"/>
        <v>1495.274863243103</v>
      </c>
      <c r="AP18" s="7"/>
      <c r="AQ18" s="7"/>
      <c r="AR18" s="10"/>
      <c r="AS18" s="10"/>
      <c r="AT18" s="10"/>
      <c r="AU18" s="10"/>
      <c r="AV18" s="10"/>
      <c r="AW18" s="10"/>
      <c r="AY18" s="3">
        <v>41526</v>
      </c>
      <c r="AZ18">
        <v>8206.5</v>
      </c>
      <c r="BA18" t="s">
        <v>45</v>
      </c>
      <c r="BB18" t="s">
        <v>45</v>
      </c>
      <c r="BC18" t="s">
        <v>45</v>
      </c>
      <c r="BD18">
        <v>2861.875</v>
      </c>
      <c r="BE18">
        <v>1.7549999999999999</v>
      </c>
      <c r="BF18">
        <v>15</v>
      </c>
      <c r="BG18" t="s">
        <v>45</v>
      </c>
    </row>
    <row r="19" spans="1:59">
      <c r="A19" s="1">
        <v>33243</v>
      </c>
      <c r="B19">
        <f t="shared" si="10"/>
        <v>88.149999618530273</v>
      </c>
      <c r="C19">
        <f t="shared" si="11"/>
        <v>15.266369819641113</v>
      </c>
      <c r="D19" s="1">
        <f t="shared" si="12"/>
        <v>33243</v>
      </c>
      <c r="E19">
        <f t="shared" si="13"/>
        <v>1991</v>
      </c>
      <c r="F19" s="13">
        <f t="shared" si="14"/>
        <v>5</v>
      </c>
      <c r="G19">
        <v>28.5</v>
      </c>
      <c r="H19">
        <v>21.5</v>
      </c>
      <c r="I19">
        <f t="shared" si="0"/>
        <v>17</v>
      </c>
      <c r="N19" s="5" t="s">
        <v>62</v>
      </c>
      <c r="O19" s="6">
        <f t="shared" si="15"/>
        <v>33309</v>
      </c>
      <c r="P19" s="12">
        <v>71</v>
      </c>
      <c r="Q19" s="7">
        <v>0</v>
      </c>
      <c r="R19" s="8">
        <f t="shared" si="16"/>
        <v>33309</v>
      </c>
      <c r="S19">
        <v>74</v>
      </c>
      <c r="T19" s="8">
        <f t="shared" si="2"/>
        <v>33383</v>
      </c>
      <c r="V19" s="8">
        <f t="shared" si="3"/>
        <v>33310</v>
      </c>
      <c r="W19" s="7">
        <f t="shared" si="17"/>
        <v>1240.318286895752</v>
      </c>
      <c r="X19" s="7">
        <f t="shared" si="18"/>
        <v>1297.318286895752</v>
      </c>
      <c r="Y19" s="8">
        <f t="shared" si="19"/>
        <v>33313</v>
      </c>
      <c r="Z19" s="7">
        <f t="shared" si="20"/>
        <v>4</v>
      </c>
      <c r="AA19" s="7">
        <f t="shared" si="21"/>
        <v>1547.318286895752</v>
      </c>
      <c r="AB19" s="9">
        <f t="shared" si="22"/>
        <v>33329</v>
      </c>
      <c r="AC19" s="7">
        <f t="shared" si="23"/>
        <v>1223.818286895752</v>
      </c>
      <c r="AD19" s="7">
        <f t="shared" si="24"/>
        <v>-73.5</v>
      </c>
      <c r="AE19" s="7">
        <f t="shared" si="25"/>
        <v>919.15935897827148</v>
      </c>
      <c r="AF19" s="7">
        <f t="shared" si="26"/>
        <v>992.65935897827148</v>
      </c>
      <c r="AG19" s="5">
        <f t="shared" si="27"/>
        <v>2216.4776458740234</v>
      </c>
      <c r="AH19" s="7">
        <f t="shared" si="28"/>
        <v>869.15935897827148</v>
      </c>
      <c r="AI19" s="5">
        <f t="shared" si="29"/>
        <v>28.71197863260905</v>
      </c>
      <c r="AJ19" s="5">
        <f t="shared" si="30"/>
        <v>518.95155128479007</v>
      </c>
      <c r="AK19" s="7">
        <f t="shared" si="31"/>
        <v>1816.2698381805421</v>
      </c>
      <c r="AL19" s="9">
        <f t="shared" si="32"/>
        <v>33348</v>
      </c>
      <c r="AM19" s="7">
        <f t="shared" si="33"/>
        <v>16.168184280395508</v>
      </c>
      <c r="AN19" s="7">
        <f t="shared" si="34"/>
        <v>268.95155128479018</v>
      </c>
      <c r="AO19" s="7">
        <f t="shared" si="35"/>
        <v>2166.4776458740234</v>
      </c>
      <c r="AP19" s="7"/>
      <c r="AQ19" s="7"/>
      <c r="AR19" s="10"/>
      <c r="AS19" s="10"/>
      <c r="AT19" s="10"/>
      <c r="AU19" s="10"/>
      <c r="AV19" s="10"/>
      <c r="AW19" s="10"/>
      <c r="AX19" s="3">
        <f>AY19-BB19</f>
        <v>41464</v>
      </c>
      <c r="AY19" s="3">
        <v>41527</v>
      </c>
      <c r="AZ19" t="s">
        <v>45</v>
      </c>
      <c r="BA19" t="s">
        <v>45</v>
      </c>
      <c r="BB19">
        <v>63</v>
      </c>
      <c r="BC19" t="s">
        <v>45</v>
      </c>
      <c r="BD19" t="s">
        <v>45</v>
      </c>
      <c r="BE19" t="s">
        <v>45</v>
      </c>
      <c r="BG19">
        <v>7</v>
      </c>
    </row>
    <row r="20" spans="1:59">
      <c r="A20" s="1">
        <v>33244</v>
      </c>
      <c r="B20">
        <f t="shared" si="10"/>
        <v>108.14999961853027</v>
      </c>
      <c r="C20">
        <f t="shared" si="11"/>
        <v>15.26707935333252</v>
      </c>
      <c r="D20" s="1">
        <f t="shared" si="12"/>
        <v>33244</v>
      </c>
      <c r="E20">
        <f t="shared" si="13"/>
        <v>1991</v>
      </c>
      <c r="F20" s="13">
        <f t="shared" si="14"/>
        <v>6</v>
      </c>
      <c r="G20">
        <v>32.5</v>
      </c>
      <c r="H20">
        <v>23.5</v>
      </c>
      <c r="I20">
        <f t="shared" si="0"/>
        <v>20</v>
      </c>
      <c r="N20" s="5" t="s">
        <v>62</v>
      </c>
      <c r="O20" s="6">
        <f t="shared" si="15"/>
        <v>33549</v>
      </c>
      <c r="P20" s="12">
        <v>311</v>
      </c>
      <c r="Q20" s="7">
        <v>0</v>
      </c>
      <c r="R20" s="8">
        <f t="shared" si="16"/>
        <v>33549</v>
      </c>
      <c r="S20">
        <v>59</v>
      </c>
      <c r="T20" s="8">
        <f t="shared" si="2"/>
        <v>33608</v>
      </c>
      <c r="V20" s="8">
        <f t="shared" si="3"/>
        <v>33550</v>
      </c>
      <c r="W20" s="7">
        <f t="shared" si="17"/>
        <v>4025.8790316581726</v>
      </c>
      <c r="X20" s="7">
        <f t="shared" si="18"/>
        <v>4082.8790316581726</v>
      </c>
      <c r="Y20" s="8">
        <f t="shared" si="19"/>
        <v>33553</v>
      </c>
      <c r="Z20" s="7">
        <f t="shared" si="20"/>
        <v>4</v>
      </c>
      <c r="AA20" s="7">
        <f t="shared" si="21"/>
        <v>4332.8790316581726</v>
      </c>
      <c r="AB20" s="9">
        <f t="shared" si="22"/>
        <v>33569</v>
      </c>
      <c r="AC20" s="7">
        <f t="shared" si="23"/>
        <v>4006.0790305137634</v>
      </c>
      <c r="AD20" s="7">
        <f t="shared" si="24"/>
        <v>-76.80000114440918</v>
      </c>
      <c r="AE20" s="7">
        <f t="shared" si="25"/>
        <v>897.74849128723145</v>
      </c>
      <c r="AF20" s="7">
        <f t="shared" si="26"/>
        <v>974.54849243164062</v>
      </c>
      <c r="AG20" s="5">
        <f t="shared" si="27"/>
        <v>4980.6275229454041</v>
      </c>
      <c r="AH20" s="7">
        <f t="shared" si="28"/>
        <v>847.74849128723145</v>
      </c>
      <c r="AI20" s="5">
        <f t="shared" si="29"/>
        <v>27.998283042907715</v>
      </c>
      <c r="AJ20" s="5">
        <f t="shared" si="30"/>
        <v>503.96394390106201</v>
      </c>
      <c r="AK20" s="7">
        <f t="shared" si="31"/>
        <v>4586.8429755592342</v>
      </c>
      <c r="AL20" s="9">
        <f t="shared" si="32"/>
        <v>33585</v>
      </c>
      <c r="AM20" s="7">
        <f t="shared" si="33"/>
        <v>15.263712882995605</v>
      </c>
      <c r="AN20" s="7">
        <f t="shared" si="34"/>
        <v>253.96394390106161</v>
      </c>
      <c r="AO20" s="7">
        <f t="shared" si="35"/>
        <v>4930.6275229454041</v>
      </c>
      <c r="AP20" s="7"/>
      <c r="AQ20" s="7"/>
      <c r="AR20" s="10"/>
      <c r="AS20" s="10"/>
      <c r="AT20" s="10"/>
      <c r="AU20" s="10"/>
      <c r="AV20" s="10"/>
      <c r="AW20" s="10"/>
      <c r="AY20" s="3">
        <v>41540</v>
      </c>
      <c r="AZ20">
        <v>10019.75</v>
      </c>
      <c r="BA20" t="s">
        <v>45</v>
      </c>
      <c r="BB20" t="s">
        <v>45</v>
      </c>
      <c r="BC20" t="s">
        <v>45</v>
      </c>
      <c r="BD20">
        <v>2984.375</v>
      </c>
      <c r="BE20">
        <v>2.0699999999999998</v>
      </c>
      <c r="BF20">
        <v>15.4</v>
      </c>
      <c r="BG20" t="s">
        <v>45</v>
      </c>
    </row>
    <row r="21" spans="1:59">
      <c r="A21" s="1">
        <v>33245</v>
      </c>
      <c r="B21">
        <f t="shared" si="10"/>
        <v>124.00862503051758</v>
      </c>
      <c r="C21">
        <f t="shared" si="11"/>
        <v>15.267849922180176</v>
      </c>
      <c r="D21" s="1">
        <f t="shared" si="12"/>
        <v>33245</v>
      </c>
      <c r="E21">
        <f t="shared" si="13"/>
        <v>1991</v>
      </c>
      <c r="F21" s="13">
        <f t="shared" si="14"/>
        <v>7</v>
      </c>
      <c r="G21">
        <v>32.4</v>
      </c>
      <c r="H21">
        <v>14.9</v>
      </c>
      <c r="I21">
        <f t="shared" si="0"/>
        <v>15.858625411987305</v>
      </c>
      <c r="N21" s="5" t="s">
        <v>62</v>
      </c>
      <c r="O21" s="6">
        <f t="shared" si="15"/>
        <v>33521</v>
      </c>
      <c r="P21" s="12">
        <v>283</v>
      </c>
      <c r="Q21" s="7">
        <v>0</v>
      </c>
      <c r="R21" s="8">
        <f t="shared" si="16"/>
        <v>33521</v>
      </c>
      <c r="S21">
        <v>65</v>
      </c>
      <c r="T21" s="8">
        <f t="shared" si="2"/>
        <v>33586</v>
      </c>
      <c r="V21" s="8">
        <f t="shared" si="3"/>
        <v>33522</v>
      </c>
      <c r="W21" s="7">
        <f t="shared" si="17"/>
        <v>3609.2272582054138</v>
      </c>
      <c r="X21" s="7">
        <f t="shared" si="18"/>
        <v>3666.2272582054138</v>
      </c>
      <c r="Y21" s="8">
        <f t="shared" si="19"/>
        <v>33525</v>
      </c>
      <c r="Z21" s="7">
        <f t="shared" si="20"/>
        <v>4</v>
      </c>
      <c r="AA21" s="7">
        <f t="shared" si="21"/>
        <v>3916.2272582054138</v>
      </c>
      <c r="AB21" s="9">
        <f t="shared" si="22"/>
        <v>33543</v>
      </c>
      <c r="AC21" s="7">
        <f t="shared" si="23"/>
        <v>3595.7309250831604</v>
      </c>
      <c r="AD21" s="7">
        <f t="shared" si="24"/>
        <v>-70.496333122253418</v>
      </c>
      <c r="AE21" s="7">
        <f t="shared" si="25"/>
        <v>929.2611026763916</v>
      </c>
      <c r="AF21" s="7">
        <f t="shared" si="26"/>
        <v>999.75743579864502</v>
      </c>
      <c r="AG21" s="5">
        <f t="shared" si="27"/>
        <v>4595.4883608818054</v>
      </c>
      <c r="AH21" s="7">
        <f t="shared" si="28"/>
        <v>879.2611026763916</v>
      </c>
      <c r="AI21" s="5">
        <f t="shared" si="29"/>
        <v>29.048703422546389</v>
      </c>
      <c r="AJ21" s="5">
        <f t="shared" si="30"/>
        <v>526.0227718734742</v>
      </c>
      <c r="AK21" s="7">
        <f t="shared" si="31"/>
        <v>4192.2500300788879</v>
      </c>
      <c r="AL21" s="9">
        <f t="shared" si="32"/>
        <v>33559</v>
      </c>
      <c r="AM21" s="7">
        <f t="shared" si="33"/>
        <v>15.298031806945801</v>
      </c>
      <c r="AN21" s="7">
        <f t="shared" si="34"/>
        <v>276.02277187347408</v>
      </c>
      <c r="AO21" s="7">
        <f t="shared" si="35"/>
        <v>4545.4883608818054</v>
      </c>
      <c r="AP21" s="7"/>
      <c r="AQ21" s="7"/>
      <c r="AR21" s="7"/>
      <c r="AS21" s="7"/>
      <c r="AT21" s="7"/>
      <c r="AU21" s="7"/>
      <c r="AV21" s="7"/>
      <c r="AW21" s="7"/>
      <c r="AY21" s="3">
        <v>41556</v>
      </c>
      <c r="AZ21">
        <v>10996.157499999999</v>
      </c>
      <c r="BA21">
        <v>1012.27</v>
      </c>
      <c r="BB21" t="s">
        <v>45</v>
      </c>
      <c r="BC21">
        <v>92</v>
      </c>
      <c r="BD21" t="s">
        <v>45</v>
      </c>
      <c r="BE21" t="s">
        <v>45</v>
      </c>
      <c r="BG21">
        <v>10</v>
      </c>
    </row>
    <row r="22" spans="1:59">
      <c r="A22" s="1">
        <v>33246</v>
      </c>
      <c r="B22">
        <f t="shared" si="10"/>
        <v>140.45862579345703</v>
      </c>
      <c r="C22">
        <f t="shared" si="11"/>
        <v>15.268683433532715</v>
      </c>
      <c r="D22" s="1">
        <f t="shared" si="12"/>
        <v>33246</v>
      </c>
      <c r="E22">
        <f t="shared" si="13"/>
        <v>1991</v>
      </c>
      <c r="F22" s="13">
        <f t="shared" si="14"/>
        <v>8</v>
      </c>
      <c r="G22">
        <v>29.5</v>
      </c>
      <c r="H22">
        <v>19.399999999999999</v>
      </c>
      <c r="I22">
        <f t="shared" si="0"/>
        <v>16.450000762939453</v>
      </c>
      <c r="N22" s="5" t="s">
        <v>62</v>
      </c>
      <c r="O22" s="6">
        <f t="shared" si="15"/>
        <v>33500</v>
      </c>
      <c r="P22" s="12">
        <v>262</v>
      </c>
      <c r="Q22" s="7">
        <v>0</v>
      </c>
      <c r="R22" s="8">
        <f t="shared" si="16"/>
        <v>33500</v>
      </c>
      <c r="S22">
        <v>67</v>
      </c>
      <c r="T22" s="8">
        <f t="shared" si="2"/>
        <v>33567</v>
      </c>
      <c r="V22" s="8">
        <f t="shared" si="3"/>
        <v>33501</v>
      </c>
      <c r="W22" s="7">
        <f t="shared" si="17"/>
        <v>3317.2669568061829</v>
      </c>
      <c r="X22" s="7">
        <f t="shared" si="18"/>
        <v>3374.2669568061829</v>
      </c>
      <c r="Y22" s="8">
        <f t="shared" si="19"/>
        <v>33505</v>
      </c>
      <c r="Z22" s="7">
        <f t="shared" si="20"/>
        <v>5</v>
      </c>
      <c r="AA22" s="7">
        <f t="shared" si="21"/>
        <v>3624.2669568061829</v>
      </c>
      <c r="AB22" s="9">
        <f t="shared" si="22"/>
        <v>33523</v>
      </c>
      <c r="AC22" s="7">
        <f t="shared" si="23"/>
        <v>3305.3875699043274</v>
      </c>
      <c r="AD22" s="7">
        <f t="shared" si="24"/>
        <v>-68.879386901855469</v>
      </c>
      <c r="AE22" s="7">
        <f t="shared" si="25"/>
        <v>924.8430871963501</v>
      </c>
      <c r="AF22" s="7">
        <f t="shared" si="26"/>
        <v>993.72247409820557</v>
      </c>
      <c r="AG22" s="5">
        <f t="shared" si="27"/>
        <v>4299.110044002533</v>
      </c>
      <c r="AH22" s="7">
        <f t="shared" si="28"/>
        <v>874.8430871963501</v>
      </c>
      <c r="AI22" s="5">
        <f t="shared" si="29"/>
        <v>28.90143623987834</v>
      </c>
      <c r="AJ22" s="5">
        <f t="shared" si="30"/>
        <v>522.93016103744515</v>
      </c>
      <c r="AK22" s="7">
        <f t="shared" si="31"/>
        <v>3897.1971178436279</v>
      </c>
      <c r="AL22" s="9">
        <f t="shared" si="32"/>
        <v>33542</v>
      </c>
      <c r="AM22" s="7">
        <f t="shared" si="33"/>
        <v>15.362142562866211</v>
      </c>
      <c r="AN22" s="7">
        <f t="shared" si="34"/>
        <v>272.93016103744503</v>
      </c>
      <c r="AO22" s="7">
        <f t="shared" si="35"/>
        <v>4249.110044002533</v>
      </c>
      <c r="AP22" s="7"/>
      <c r="AQ22" s="7"/>
      <c r="AR22" s="7"/>
      <c r="AS22" s="7"/>
      <c r="AT22" s="7"/>
      <c r="AU22" s="7"/>
      <c r="AV22" s="7"/>
      <c r="AW22" s="7"/>
      <c r="AY22" s="3">
        <v>41373</v>
      </c>
      <c r="AZ22">
        <v>166.75</v>
      </c>
      <c r="BA22" t="s">
        <v>45</v>
      </c>
      <c r="BB22" t="s">
        <v>45</v>
      </c>
      <c r="BC22" t="s">
        <v>45</v>
      </c>
      <c r="BD22">
        <v>683.75</v>
      </c>
      <c r="BE22">
        <v>1.2124999999999999</v>
      </c>
      <c r="BF22">
        <v>6.9</v>
      </c>
      <c r="BG22" t="s">
        <v>45</v>
      </c>
    </row>
    <row r="23" spans="1:59">
      <c r="A23" s="1">
        <v>33247</v>
      </c>
      <c r="B23">
        <f t="shared" si="10"/>
        <v>156.27330303192139</v>
      </c>
      <c r="C23">
        <f t="shared" si="11"/>
        <v>15.269582748413086</v>
      </c>
      <c r="D23" s="1">
        <f t="shared" si="12"/>
        <v>33247</v>
      </c>
      <c r="E23">
        <f t="shared" si="13"/>
        <v>1991</v>
      </c>
      <c r="F23" s="13">
        <f t="shared" si="14"/>
        <v>9</v>
      </c>
      <c r="G23">
        <v>30.5</v>
      </c>
      <c r="H23">
        <v>17.100000000000001</v>
      </c>
      <c r="I23">
        <f t="shared" si="0"/>
        <v>15.814677238464355</v>
      </c>
      <c r="AP23" s="7"/>
      <c r="AQ23" s="7"/>
      <c r="AR23" s="7"/>
      <c r="AS23" s="7"/>
      <c r="AT23" s="7"/>
      <c r="AU23" s="7"/>
      <c r="AV23" s="7"/>
      <c r="AW23" s="7"/>
      <c r="AY23" s="3">
        <v>41531</v>
      </c>
      <c r="AZ23">
        <v>399.75</v>
      </c>
      <c r="BA23" t="s">
        <v>45</v>
      </c>
      <c r="BB23" t="s">
        <v>45</v>
      </c>
      <c r="BC23" t="s">
        <v>45</v>
      </c>
      <c r="BD23">
        <v>1024.375</v>
      </c>
      <c r="BE23">
        <v>1.2925</v>
      </c>
      <c r="BF23">
        <v>9.6999999999999993</v>
      </c>
      <c r="BG23" t="s">
        <v>45</v>
      </c>
    </row>
    <row r="24" spans="1:59">
      <c r="A24" s="1">
        <v>33248</v>
      </c>
      <c r="B24">
        <f t="shared" si="10"/>
        <v>171.38543891906738</v>
      </c>
      <c r="C24">
        <f t="shared" si="11"/>
        <v>15.270549774169922</v>
      </c>
      <c r="D24" s="1">
        <f t="shared" si="12"/>
        <v>33248</v>
      </c>
      <c r="E24">
        <f t="shared" si="13"/>
        <v>1991</v>
      </c>
      <c r="F24" s="13">
        <f t="shared" si="14"/>
        <v>10</v>
      </c>
      <c r="G24">
        <v>30.4</v>
      </c>
      <c r="H24">
        <v>15.5</v>
      </c>
      <c r="I24">
        <f t="shared" si="0"/>
        <v>15.112135887145996</v>
      </c>
      <c r="AP24" s="7"/>
      <c r="AQ24" s="7"/>
      <c r="AR24" s="10"/>
      <c r="AS24" s="10"/>
      <c r="AT24" s="10"/>
      <c r="AU24" s="10"/>
      <c r="AV24" s="10"/>
      <c r="AW24" s="10"/>
      <c r="AY24" s="3">
        <v>41537</v>
      </c>
      <c r="AZ24">
        <v>1999.75</v>
      </c>
      <c r="BA24" t="s">
        <v>45</v>
      </c>
      <c r="BB24" t="s">
        <v>45</v>
      </c>
      <c r="BC24" t="s">
        <v>45</v>
      </c>
      <c r="BD24" t="s">
        <v>45</v>
      </c>
      <c r="BE24" t="s">
        <v>45</v>
      </c>
      <c r="BG24">
        <v>6</v>
      </c>
    </row>
    <row r="25" spans="1:59">
      <c r="A25" s="1">
        <v>33249</v>
      </c>
      <c r="B25">
        <f t="shared" si="10"/>
        <v>187.12649726867676</v>
      </c>
      <c r="C25">
        <f t="shared" si="11"/>
        <v>15.271588325500488</v>
      </c>
      <c r="D25" s="1">
        <f t="shared" si="12"/>
        <v>33249</v>
      </c>
      <c r="E25">
        <f t="shared" si="13"/>
        <v>1991</v>
      </c>
      <c r="F25" s="13">
        <f t="shared" si="14"/>
        <v>11</v>
      </c>
      <c r="G25">
        <v>32</v>
      </c>
      <c r="H25">
        <v>15.1</v>
      </c>
      <c r="I25">
        <f t="shared" si="0"/>
        <v>15.741058349609375</v>
      </c>
      <c r="AP25" s="7"/>
      <c r="AQ25" s="7"/>
      <c r="AR25" s="10"/>
      <c r="AS25" s="10"/>
      <c r="AT25" s="10"/>
      <c r="AU25" s="10"/>
      <c r="AV25" s="10"/>
      <c r="AW25" s="10"/>
      <c r="AY25" s="3">
        <v>41541</v>
      </c>
      <c r="AZ25">
        <v>2866.5</v>
      </c>
      <c r="BA25" t="s">
        <v>45</v>
      </c>
      <c r="BB25" t="s">
        <v>45</v>
      </c>
      <c r="BC25" t="s">
        <v>45</v>
      </c>
      <c r="BD25">
        <v>1826.25</v>
      </c>
      <c r="BE25">
        <v>1.3174999999999999</v>
      </c>
      <c r="BF25">
        <v>11</v>
      </c>
      <c r="BG25" t="s">
        <v>45</v>
      </c>
    </row>
    <row r="26" spans="1:59">
      <c r="A26" s="1">
        <v>33250</v>
      </c>
      <c r="B26">
        <f t="shared" si="10"/>
        <v>203.22454261779785</v>
      </c>
      <c r="C26">
        <f t="shared" si="11"/>
        <v>15.272700309753418</v>
      </c>
      <c r="D26" s="1">
        <f t="shared" si="12"/>
        <v>33250</v>
      </c>
      <c r="E26">
        <f t="shared" si="13"/>
        <v>1991</v>
      </c>
      <c r="F26" s="13">
        <f t="shared" si="14"/>
        <v>12</v>
      </c>
      <c r="G26">
        <v>32</v>
      </c>
      <c r="H26">
        <v>16</v>
      </c>
      <c r="I26">
        <f t="shared" si="0"/>
        <v>16.098045349121094</v>
      </c>
      <c r="AP26" s="7"/>
      <c r="AQ26" s="7"/>
      <c r="AR26" s="10"/>
      <c r="AS26" s="10"/>
      <c r="AT26" s="10"/>
      <c r="AU26" s="10"/>
      <c r="AV26" s="10"/>
      <c r="AW26" s="10"/>
      <c r="AX26" s="3">
        <f>AY26-BB26</f>
        <v>41491</v>
      </c>
      <c r="AY26" s="3">
        <v>41550</v>
      </c>
      <c r="AZ26" t="s">
        <v>45</v>
      </c>
      <c r="BA26" t="s">
        <v>45</v>
      </c>
      <c r="BB26">
        <v>59</v>
      </c>
      <c r="BC26" t="s">
        <v>45</v>
      </c>
      <c r="BD26" t="s">
        <v>45</v>
      </c>
      <c r="BE26" t="s">
        <v>45</v>
      </c>
      <c r="BG26">
        <v>7</v>
      </c>
    </row>
    <row r="27" spans="1:59">
      <c r="A27" s="1">
        <v>33251</v>
      </c>
      <c r="B27">
        <f t="shared" si="10"/>
        <v>219.79029083251953</v>
      </c>
      <c r="C27">
        <f t="shared" si="11"/>
        <v>15.273887634277344</v>
      </c>
      <c r="D27" s="1">
        <f t="shared" si="12"/>
        <v>33251</v>
      </c>
      <c r="E27">
        <f t="shared" si="13"/>
        <v>1991</v>
      </c>
      <c r="F27" s="13">
        <f t="shared" si="14"/>
        <v>13</v>
      </c>
      <c r="G27">
        <v>32.1</v>
      </c>
      <c r="H27">
        <v>17</v>
      </c>
      <c r="I27">
        <f t="shared" si="0"/>
        <v>16.56574821472168</v>
      </c>
      <c r="AY27" s="3">
        <v>41551</v>
      </c>
      <c r="AZ27">
        <v>4786.75</v>
      </c>
      <c r="BA27" t="s">
        <v>45</v>
      </c>
      <c r="BB27" t="s">
        <v>45</v>
      </c>
      <c r="BC27" t="s">
        <v>45</v>
      </c>
      <c r="BD27">
        <v>2193.75</v>
      </c>
      <c r="BE27">
        <v>1.5825</v>
      </c>
      <c r="BF27">
        <v>11</v>
      </c>
      <c r="BG27" t="s">
        <v>45</v>
      </c>
    </row>
    <row r="28" spans="1:59">
      <c r="A28" s="1">
        <v>33252</v>
      </c>
      <c r="B28">
        <f t="shared" si="10"/>
        <v>236.54029083251953</v>
      </c>
      <c r="C28">
        <f t="shared" si="11"/>
        <v>15.275155067443848</v>
      </c>
      <c r="D28" s="1">
        <f t="shared" si="12"/>
        <v>33252</v>
      </c>
      <c r="E28">
        <f t="shared" si="13"/>
        <v>1991</v>
      </c>
      <c r="F28" s="13">
        <f t="shared" si="14"/>
        <v>14</v>
      </c>
      <c r="G28">
        <v>31.4</v>
      </c>
      <c r="H28">
        <v>18.100000000000001</v>
      </c>
      <c r="I28">
        <f t="shared" si="0"/>
        <v>16.75</v>
      </c>
      <c r="AY28" s="3">
        <v>41561</v>
      </c>
      <c r="AZ28" t="s">
        <v>45</v>
      </c>
      <c r="BA28" t="s">
        <v>45</v>
      </c>
      <c r="BB28" t="s">
        <v>45</v>
      </c>
      <c r="BC28" t="s">
        <v>45</v>
      </c>
      <c r="BD28">
        <v>2345.625</v>
      </c>
      <c r="BE28">
        <v>1.4225000000000001</v>
      </c>
      <c r="BF28">
        <v>11</v>
      </c>
      <c r="BG28" t="s">
        <v>45</v>
      </c>
    </row>
    <row r="29" spans="1:59">
      <c r="A29" s="1">
        <v>33253</v>
      </c>
      <c r="B29">
        <f t="shared" si="10"/>
        <v>254.84028816223145</v>
      </c>
      <c r="C29">
        <f t="shared" si="11"/>
        <v>15.276503562927246</v>
      </c>
      <c r="D29" s="1">
        <f t="shared" si="12"/>
        <v>33253</v>
      </c>
      <c r="E29">
        <f t="shared" si="13"/>
        <v>1991</v>
      </c>
      <c r="F29" s="13">
        <f t="shared" si="14"/>
        <v>15</v>
      </c>
      <c r="G29">
        <v>33</v>
      </c>
      <c r="H29">
        <v>19.600000000000001</v>
      </c>
      <c r="I29">
        <f t="shared" si="0"/>
        <v>18.299997329711914</v>
      </c>
      <c r="AY29" s="3">
        <v>41576</v>
      </c>
      <c r="AZ29">
        <v>9744.4249999999993</v>
      </c>
      <c r="BA29">
        <v>1078.79</v>
      </c>
      <c r="BB29" t="s">
        <v>45</v>
      </c>
      <c r="BC29">
        <v>85</v>
      </c>
      <c r="BD29" t="s">
        <v>45</v>
      </c>
      <c r="BE29" t="s">
        <v>45</v>
      </c>
      <c r="BG29">
        <v>10</v>
      </c>
    </row>
    <row r="30" spans="1:59">
      <c r="A30" s="1">
        <v>33254</v>
      </c>
      <c r="B30">
        <f t="shared" si="10"/>
        <v>272.39028739929199</v>
      </c>
      <c r="C30">
        <f t="shared" si="11"/>
        <v>15.277938842773437</v>
      </c>
      <c r="D30" s="1">
        <f t="shared" si="12"/>
        <v>33254</v>
      </c>
      <c r="E30">
        <f t="shared" si="13"/>
        <v>1991</v>
      </c>
      <c r="F30" s="13">
        <f t="shared" si="14"/>
        <v>16</v>
      </c>
      <c r="G30">
        <v>31.9</v>
      </c>
      <c r="H30">
        <v>19.2</v>
      </c>
      <c r="I30">
        <f t="shared" si="0"/>
        <v>17.549999237060547</v>
      </c>
    </row>
    <row r="31" spans="1:59">
      <c r="A31" s="1">
        <v>33255</v>
      </c>
      <c r="B31">
        <f t="shared" si="10"/>
        <v>290.2902889251709</v>
      </c>
      <c r="C31">
        <f t="shared" si="11"/>
        <v>15.279462814331055</v>
      </c>
      <c r="D31" s="1">
        <f t="shared" si="12"/>
        <v>33255</v>
      </c>
      <c r="E31">
        <f t="shared" si="13"/>
        <v>1991</v>
      </c>
      <c r="F31" s="13">
        <f t="shared" si="14"/>
        <v>17</v>
      </c>
      <c r="G31">
        <v>29.2</v>
      </c>
      <c r="H31">
        <v>22.6</v>
      </c>
      <c r="I31">
        <f t="shared" si="0"/>
        <v>17.900001525878906</v>
      </c>
    </row>
    <row r="32" spans="1:59">
      <c r="A32" s="1">
        <v>33256</v>
      </c>
      <c r="B32">
        <f t="shared" si="10"/>
        <v>305.89028930664062</v>
      </c>
      <c r="C32">
        <f t="shared" si="11"/>
        <v>15.281078338623047</v>
      </c>
      <c r="D32" s="1">
        <f t="shared" si="12"/>
        <v>33256</v>
      </c>
      <c r="E32">
        <f t="shared" si="13"/>
        <v>1991</v>
      </c>
      <c r="F32" s="13">
        <f t="shared" si="14"/>
        <v>18</v>
      </c>
      <c r="G32">
        <v>27</v>
      </c>
      <c r="H32">
        <v>20.2</v>
      </c>
      <c r="I32">
        <f t="shared" si="0"/>
        <v>15.600000381469727</v>
      </c>
    </row>
    <row r="33" spans="1:9">
      <c r="A33" s="1">
        <v>33257</v>
      </c>
      <c r="B33">
        <f t="shared" si="10"/>
        <v>325.04764366149902</v>
      </c>
      <c r="C33">
        <f t="shared" si="11"/>
        <v>15.282788276672363</v>
      </c>
      <c r="D33" s="1">
        <f t="shared" si="12"/>
        <v>33257</v>
      </c>
      <c r="E33">
        <f t="shared" si="13"/>
        <v>1991</v>
      </c>
      <c r="F33" s="13">
        <f t="shared" si="14"/>
        <v>19</v>
      </c>
      <c r="G33">
        <v>36</v>
      </c>
      <c r="H33">
        <v>18.8</v>
      </c>
      <c r="I33">
        <f t="shared" si="0"/>
        <v>19.157354354858398</v>
      </c>
    </row>
    <row r="34" spans="1:9">
      <c r="A34" s="1">
        <v>33258</v>
      </c>
      <c r="B34">
        <f t="shared" si="10"/>
        <v>346.03018760681152</v>
      </c>
      <c r="C34">
        <f t="shared" si="11"/>
        <v>15.284597396850586</v>
      </c>
      <c r="D34" s="1">
        <f t="shared" si="12"/>
        <v>33258</v>
      </c>
      <c r="E34">
        <f t="shared" si="13"/>
        <v>1991</v>
      </c>
      <c r="F34" s="13">
        <f t="shared" si="14"/>
        <v>20</v>
      </c>
      <c r="G34">
        <v>35.200000000000003</v>
      </c>
      <c r="H34">
        <v>23</v>
      </c>
      <c r="I34">
        <f t="shared" si="0"/>
        <v>20.9825439453125</v>
      </c>
    </row>
    <row r="35" spans="1:9">
      <c r="A35" s="1">
        <v>33259</v>
      </c>
      <c r="B35">
        <f t="shared" si="10"/>
        <v>366.21915245056152</v>
      </c>
      <c r="C35">
        <f t="shared" si="11"/>
        <v>15.286507606506348</v>
      </c>
      <c r="D35" s="1">
        <f t="shared" si="12"/>
        <v>33259</v>
      </c>
      <c r="E35">
        <f t="shared" si="13"/>
        <v>1991</v>
      </c>
      <c r="F35" s="13">
        <f t="shared" si="14"/>
        <v>21</v>
      </c>
      <c r="G35">
        <v>35.5</v>
      </c>
      <c r="H35">
        <v>21.2</v>
      </c>
      <c r="I35">
        <f t="shared" si="0"/>
        <v>20.18896484375</v>
      </c>
    </row>
    <row r="36" spans="1:9">
      <c r="A36" s="1">
        <v>33260</v>
      </c>
      <c r="B36">
        <f t="shared" si="10"/>
        <v>385.85256576538086</v>
      </c>
      <c r="C36">
        <f t="shared" si="11"/>
        <v>15.288525581359863</v>
      </c>
      <c r="D36" s="1">
        <f t="shared" si="12"/>
        <v>33260</v>
      </c>
      <c r="E36">
        <f t="shared" si="13"/>
        <v>1991</v>
      </c>
      <c r="F36" s="13">
        <f t="shared" si="14"/>
        <v>22</v>
      </c>
      <c r="G36">
        <v>35.6</v>
      </c>
      <c r="H36">
        <v>20</v>
      </c>
      <c r="I36">
        <f t="shared" si="0"/>
        <v>19.633413314819336</v>
      </c>
    </row>
    <row r="37" spans="1:9">
      <c r="A37" s="1">
        <v>33261</v>
      </c>
      <c r="B37">
        <f t="shared" si="10"/>
        <v>405.80256462097168</v>
      </c>
      <c r="C37">
        <f t="shared" si="11"/>
        <v>15.2906494140625</v>
      </c>
      <c r="D37" s="1">
        <f t="shared" si="12"/>
        <v>33261</v>
      </c>
      <c r="E37">
        <f t="shared" si="13"/>
        <v>1991</v>
      </c>
      <c r="F37" s="13">
        <f t="shared" si="14"/>
        <v>23</v>
      </c>
      <c r="G37">
        <v>32</v>
      </c>
      <c r="H37">
        <v>23.9</v>
      </c>
      <c r="I37">
        <f t="shared" si="0"/>
        <v>19.94999885559082</v>
      </c>
    </row>
    <row r="38" spans="1:9">
      <c r="A38" s="1">
        <v>33262</v>
      </c>
      <c r="B38">
        <f t="shared" si="10"/>
        <v>426.80256462097168</v>
      </c>
      <c r="C38">
        <f t="shared" si="11"/>
        <v>15.292888641357422</v>
      </c>
      <c r="D38" s="1">
        <f t="shared" si="12"/>
        <v>33262</v>
      </c>
      <c r="E38">
        <f t="shared" si="13"/>
        <v>1991</v>
      </c>
      <c r="F38" s="13">
        <f t="shared" si="14"/>
        <v>24</v>
      </c>
      <c r="G38">
        <v>33</v>
      </c>
      <c r="H38">
        <v>25</v>
      </c>
      <c r="I38">
        <f t="shared" si="0"/>
        <v>21</v>
      </c>
    </row>
    <row r="39" spans="1:9">
      <c r="A39" s="1">
        <v>33263</v>
      </c>
      <c r="B39">
        <f t="shared" si="10"/>
        <v>448.02937507629395</v>
      </c>
      <c r="C39">
        <f t="shared" si="11"/>
        <v>15.295241355895996</v>
      </c>
      <c r="D39" s="1">
        <f t="shared" si="12"/>
        <v>33263</v>
      </c>
      <c r="E39">
        <f t="shared" si="13"/>
        <v>1991</v>
      </c>
      <c r="F39" s="13">
        <f t="shared" si="14"/>
        <v>25</v>
      </c>
      <c r="G39">
        <v>34.5</v>
      </c>
      <c r="H39">
        <v>24</v>
      </c>
      <c r="I39">
        <f t="shared" si="0"/>
        <v>21.226810455322266</v>
      </c>
    </row>
    <row r="40" spans="1:9">
      <c r="A40" s="1">
        <v>33264</v>
      </c>
      <c r="B40">
        <f t="shared" si="10"/>
        <v>468.27937507629395</v>
      </c>
      <c r="C40">
        <f t="shared" si="11"/>
        <v>15.297715187072754</v>
      </c>
      <c r="D40" s="1">
        <f t="shared" si="12"/>
        <v>33264</v>
      </c>
      <c r="E40">
        <f t="shared" si="13"/>
        <v>1991</v>
      </c>
      <c r="F40" s="13">
        <f t="shared" si="14"/>
        <v>26</v>
      </c>
      <c r="G40">
        <v>31.5</v>
      </c>
      <c r="H40">
        <v>25</v>
      </c>
      <c r="I40">
        <f t="shared" si="0"/>
        <v>20.25</v>
      </c>
    </row>
    <row r="41" spans="1:9">
      <c r="A41" s="1">
        <v>33265</v>
      </c>
      <c r="B41">
        <f t="shared" si="10"/>
        <v>488.6293773651123</v>
      </c>
      <c r="C41">
        <f t="shared" si="11"/>
        <v>15.300312042236328</v>
      </c>
      <c r="D41" s="1">
        <f t="shared" si="12"/>
        <v>33265</v>
      </c>
      <c r="E41">
        <f t="shared" si="13"/>
        <v>1991</v>
      </c>
      <c r="F41" s="13">
        <f t="shared" si="14"/>
        <v>27</v>
      </c>
      <c r="G41">
        <v>33.700000000000003</v>
      </c>
      <c r="H41">
        <v>23</v>
      </c>
      <c r="I41">
        <f t="shared" si="0"/>
        <v>20.350002288818359</v>
      </c>
    </row>
    <row r="42" spans="1:9">
      <c r="A42" s="1">
        <v>33266</v>
      </c>
      <c r="B42">
        <f t="shared" si="10"/>
        <v>505.17937850952148</v>
      </c>
      <c r="C42">
        <f t="shared" si="11"/>
        <v>15.303034782409668</v>
      </c>
      <c r="D42" s="1">
        <f t="shared" si="12"/>
        <v>33266</v>
      </c>
      <c r="E42">
        <f t="shared" si="13"/>
        <v>1991</v>
      </c>
      <c r="F42" s="13">
        <f t="shared" si="14"/>
        <v>28</v>
      </c>
      <c r="G42">
        <v>27.9</v>
      </c>
      <c r="H42">
        <v>21.2</v>
      </c>
      <c r="I42">
        <f t="shared" si="0"/>
        <v>16.55000114440918</v>
      </c>
    </row>
    <row r="43" spans="1:9">
      <c r="A43" s="1">
        <v>33267</v>
      </c>
      <c r="B43">
        <f t="shared" si="10"/>
        <v>524.14039993286133</v>
      </c>
      <c r="C43">
        <f t="shared" si="11"/>
        <v>15.305887222290039</v>
      </c>
      <c r="D43" s="1">
        <f t="shared" si="12"/>
        <v>33267</v>
      </c>
      <c r="E43">
        <f t="shared" si="13"/>
        <v>1991</v>
      </c>
      <c r="F43" s="13">
        <f t="shared" si="14"/>
        <v>29</v>
      </c>
      <c r="G43">
        <v>35.200000000000003</v>
      </c>
      <c r="H43">
        <v>18.899999999999999</v>
      </c>
      <c r="I43">
        <f t="shared" si="0"/>
        <v>18.961021423339844</v>
      </c>
    </row>
    <row r="44" spans="1:9">
      <c r="A44" s="1">
        <v>33268</v>
      </c>
      <c r="B44">
        <f t="shared" si="10"/>
        <v>542.09039878845215</v>
      </c>
      <c r="C44">
        <f t="shared" si="11"/>
        <v>15.308876037597656</v>
      </c>
      <c r="D44" s="1">
        <f t="shared" si="12"/>
        <v>33268</v>
      </c>
      <c r="E44">
        <f t="shared" si="13"/>
        <v>1991</v>
      </c>
      <c r="F44" s="13">
        <f t="shared" si="14"/>
        <v>30</v>
      </c>
      <c r="G44">
        <v>30.4</v>
      </c>
      <c r="H44">
        <v>21.5</v>
      </c>
      <c r="I44">
        <f t="shared" si="0"/>
        <v>17.94999885559082</v>
      </c>
    </row>
    <row r="45" spans="1:9">
      <c r="A45" s="1">
        <v>33269</v>
      </c>
      <c r="B45">
        <f t="shared" si="10"/>
        <v>559.3903980255127</v>
      </c>
      <c r="C45">
        <f t="shared" si="11"/>
        <v>15.312000274658203</v>
      </c>
      <c r="D45" s="1">
        <f t="shared" si="12"/>
        <v>33269</v>
      </c>
      <c r="E45">
        <f t="shared" si="13"/>
        <v>1991</v>
      </c>
      <c r="F45" s="13">
        <f t="shared" si="14"/>
        <v>31</v>
      </c>
      <c r="G45">
        <v>32</v>
      </c>
      <c r="H45">
        <v>18.600000000000001</v>
      </c>
      <c r="I45">
        <f t="shared" si="0"/>
        <v>17.299999237060547</v>
      </c>
    </row>
    <row r="46" spans="1:9">
      <c r="A46" s="1">
        <v>33270</v>
      </c>
      <c r="B46">
        <f t="shared" si="10"/>
        <v>578.02754402160645</v>
      </c>
      <c r="C46">
        <f t="shared" si="11"/>
        <v>15.315267562866211</v>
      </c>
      <c r="D46" s="1">
        <f t="shared" si="12"/>
        <v>33270</v>
      </c>
      <c r="E46">
        <f t="shared" si="13"/>
        <v>1991</v>
      </c>
      <c r="F46" s="13">
        <f t="shared" si="14"/>
        <v>32</v>
      </c>
      <c r="G46">
        <v>35</v>
      </c>
      <c r="H46">
        <v>18.399999999999999</v>
      </c>
      <c r="I46">
        <f t="shared" si="0"/>
        <v>18.63714599609375</v>
      </c>
    </row>
    <row r="47" spans="1:9">
      <c r="A47" s="1">
        <v>33271</v>
      </c>
      <c r="B47">
        <f t="shared" si="10"/>
        <v>596.22754287719727</v>
      </c>
      <c r="C47">
        <f t="shared" si="11"/>
        <v>15.318676948547363</v>
      </c>
      <c r="D47" s="1">
        <f t="shared" si="12"/>
        <v>33271</v>
      </c>
      <c r="E47">
        <f t="shared" si="13"/>
        <v>1991</v>
      </c>
      <c r="F47" s="13">
        <f t="shared" si="14"/>
        <v>33</v>
      </c>
      <c r="G47">
        <v>30.9</v>
      </c>
      <c r="H47">
        <v>21.5</v>
      </c>
      <c r="I47">
        <f t="shared" si="0"/>
        <v>18.19999885559082</v>
      </c>
    </row>
    <row r="48" spans="1:9">
      <c r="A48" s="1">
        <v>33272</v>
      </c>
      <c r="B48">
        <f t="shared" si="10"/>
        <v>612.22754287719727</v>
      </c>
      <c r="C48">
        <f t="shared" si="11"/>
        <v>15.322236061096191</v>
      </c>
      <c r="D48" s="1">
        <f t="shared" si="12"/>
        <v>33272</v>
      </c>
      <c r="E48">
        <f t="shared" si="13"/>
        <v>1991</v>
      </c>
      <c r="F48" s="13">
        <f t="shared" si="14"/>
        <v>34</v>
      </c>
      <c r="G48">
        <v>29.7</v>
      </c>
      <c r="H48">
        <v>18.3</v>
      </c>
      <c r="I48">
        <f t="shared" si="0"/>
        <v>16</v>
      </c>
    </row>
    <row r="49" spans="1:9">
      <c r="A49" s="1">
        <v>33273</v>
      </c>
      <c r="B49">
        <f t="shared" si="10"/>
        <v>628.52754211425781</v>
      </c>
      <c r="C49">
        <f t="shared" si="11"/>
        <v>15.325946807861328</v>
      </c>
      <c r="D49" s="1">
        <f t="shared" si="12"/>
        <v>33273</v>
      </c>
      <c r="E49">
        <f t="shared" si="13"/>
        <v>1991</v>
      </c>
      <c r="F49" s="13">
        <f t="shared" si="14"/>
        <v>35</v>
      </c>
      <c r="G49">
        <v>31.2</v>
      </c>
      <c r="H49">
        <v>17.399999999999999</v>
      </c>
      <c r="I49">
        <f t="shared" si="0"/>
        <v>16.299999237060547</v>
      </c>
    </row>
    <row r="50" spans="1:9">
      <c r="A50" s="1">
        <v>33274</v>
      </c>
      <c r="B50">
        <f t="shared" si="10"/>
        <v>645.02754211425781</v>
      </c>
      <c r="C50">
        <f t="shared" si="11"/>
        <v>15.329813003540039</v>
      </c>
      <c r="D50" s="1">
        <f t="shared" si="12"/>
        <v>33274</v>
      </c>
      <c r="E50">
        <f t="shared" si="13"/>
        <v>1991</v>
      </c>
      <c r="F50" s="13">
        <f t="shared" si="14"/>
        <v>36</v>
      </c>
      <c r="G50">
        <v>30.7</v>
      </c>
      <c r="H50">
        <v>18.3</v>
      </c>
      <c r="I50">
        <f t="shared" si="0"/>
        <v>16.5</v>
      </c>
    </row>
    <row r="51" spans="1:9">
      <c r="A51" s="1">
        <v>33275</v>
      </c>
      <c r="B51">
        <f t="shared" si="10"/>
        <v>661.82754325866699</v>
      </c>
      <c r="C51">
        <f t="shared" si="11"/>
        <v>15.333836555480957</v>
      </c>
      <c r="D51" s="1">
        <f t="shared" si="12"/>
        <v>33275</v>
      </c>
      <c r="E51">
        <f t="shared" si="13"/>
        <v>1991</v>
      </c>
      <c r="F51" s="13">
        <f t="shared" si="14"/>
        <v>37</v>
      </c>
      <c r="G51">
        <v>28</v>
      </c>
      <c r="H51">
        <v>21.6</v>
      </c>
      <c r="I51">
        <f t="shared" si="0"/>
        <v>16.80000114440918</v>
      </c>
    </row>
    <row r="52" spans="1:9">
      <c r="A52" s="1">
        <v>33276</v>
      </c>
      <c r="B52">
        <f t="shared" si="10"/>
        <v>682.07754516601562</v>
      </c>
      <c r="C52">
        <f t="shared" si="11"/>
        <v>15.338024139404297</v>
      </c>
      <c r="D52" s="1">
        <f t="shared" si="12"/>
        <v>33276</v>
      </c>
      <c r="E52">
        <f t="shared" si="13"/>
        <v>1991</v>
      </c>
      <c r="F52" s="13">
        <f t="shared" si="14"/>
        <v>38</v>
      </c>
      <c r="G52">
        <v>33.9</v>
      </c>
      <c r="H52">
        <v>22.6</v>
      </c>
      <c r="I52">
        <f t="shared" si="0"/>
        <v>20.250001907348633</v>
      </c>
    </row>
    <row r="53" spans="1:9">
      <c r="A53" s="1">
        <v>33277</v>
      </c>
      <c r="B53">
        <f t="shared" si="10"/>
        <v>702.17754554748535</v>
      </c>
      <c r="C53">
        <f t="shared" si="11"/>
        <v>15.342374801635742</v>
      </c>
      <c r="D53" s="1">
        <f t="shared" si="12"/>
        <v>33277</v>
      </c>
      <c r="E53">
        <f t="shared" si="13"/>
        <v>1991</v>
      </c>
      <c r="F53" s="13">
        <f t="shared" si="14"/>
        <v>39</v>
      </c>
      <c r="G53">
        <v>32.700000000000003</v>
      </c>
      <c r="H53">
        <v>23.5</v>
      </c>
      <c r="I53">
        <f t="shared" si="0"/>
        <v>20.100000381469727</v>
      </c>
    </row>
    <row r="54" spans="1:9">
      <c r="A54" s="1">
        <v>33278</v>
      </c>
      <c r="B54">
        <f t="shared" si="10"/>
        <v>719.4775447845459</v>
      </c>
      <c r="C54">
        <f t="shared" si="11"/>
        <v>15.346896171569824</v>
      </c>
      <c r="D54" s="1">
        <f t="shared" si="12"/>
        <v>33278</v>
      </c>
      <c r="E54">
        <f t="shared" si="13"/>
        <v>1991</v>
      </c>
      <c r="F54" s="13">
        <f t="shared" si="14"/>
        <v>40</v>
      </c>
      <c r="G54">
        <v>27.7</v>
      </c>
      <c r="H54">
        <v>22.9</v>
      </c>
      <c r="I54">
        <f t="shared" si="0"/>
        <v>17.299999237060547</v>
      </c>
    </row>
    <row r="55" spans="1:9">
      <c r="A55" s="1">
        <v>33279</v>
      </c>
      <c r="B55">
        <f t="shared" si="10"/>
        <v>739.80196380615234</v>
      </c>
      <c r="C55">
        <f t="shared" si="11"/>
        <v>15.351588249206543</v>
      </c>
      <c r="D55" s="1">
        <f t="shared" si="12"/>
        <v>33279</v>
      </c>
      <c r="E55">
        <f t="shared" si="13"/>
        <v>1991</v>
      </c>
      <c r="F55" s="13">
        <f t="shared" si="14"/>
        <v>41</v>
      </c>
      <c r="G55">
        <v>35</v>
      </c>
      <c r="H55">
        <v>21.8</v>
      </c>
      <c r="I55">
        <f t="shared" si="0"/>
        <v>20.324419021606445</v>
      </c>
    </row>
    <row r="56" spans="1:9">
      <c r="A56" s="1">
        <v>33280</v>
      </c>
      <c r="B56">
        <f t="shared" si="10"/>
        <v>758.95196342468262</v>
      </c>
      <c r="C56">
        <f t="shared" si="11"/>
        <v>15.356454849243164</v>
      </c>
      <c r="D56" s="1">
        <f t="shared" si="12"/>
        <v>33280</v>
      </c>
      <c r="E56">
        <f t="shared" si="13"/>
        <v>1991</v>
      </c>
      <c r="F56" s="13">
        <f t="shared" si="14"/>
        <v>42</v>
      </c>
      <c r="G56">
        <v>32.700000000000003</v>
      </c>
      <c r="H56">
        <v>21.6</v>
      </c>
      <c r="I56">
        <f t="shared" si="0"/>
        <v>19.149999618530273</v>
      </c>
    </row>
    <row r="57" spans="1:9">
      <c r="A57" s="1">
        <v>33281</v>
      </c>
      <c r="B57">
        <f t="shared" si="10"/>
        <v>776.85196495056152</v>
      </c>
      <c r="C57">
        <f t="shared" si="11"/>
        <v>15.36149787902832</v>
      </c>
      <c r="D57" s="1">
        <f t="shared" si="12"/>
        <v>33281</v>
      </c>
      <c r="E57">
        <f t="shared" si="13"/>
        <v>1991</v>
      </c>
      <c r="F57" s="13">
        <f t="shared" si="14"/>
        <v>43</v>
      </c>
      <c r="G57">
        <v>30.4</v>
      </c>
      <c r="H57">
        <v>21.4</v>
      </c>
      <c r="I57">
        <f t="shared" si="0"/>
        <v>17.900001525878906</v>
      </c>
    </row>
    <row r="58" spans="1:9">
      <c r="A58" s="1">
        <v>33282</v>
      </c>
      <c r="B58">
        <f t="shared" si="10"/>
        <v>795.90196418762207</v>
      </c>
      <c r="C58">
        <f t="shared" si="11"/>
        <v>15.366724967956543</v>
      </c>
      <c r="D58" s="1">
        <f t="shared" si="12"/>
        <v>33282</v>
      </c>
      <c r="E58">
        <f t="shared" si="13"/>
        <v>1991</v>
      </c>
      <c r="F58" s="13">
        <f t="shared" si="14"/>
        <v>44</v>
      </c>
      <c r="G58">
        <v>32.1</v>
      </c>
      <c r="H58">
        <v>22</v>
      </c>
      <c r="I58">
        <f t="shared" si="0"/>
        <v>19.049999237060547</v>
      </c>
    </row>
    <row r="59" spans="1:9">
      <c r="A59" s="1">
        <v>33283</v>
      </c>
      <c r="B59">
        <f t="shared" si="10"/>
        <v>814.60196495056152</v>
      </c>
      <c r="C59">
        <f t="shared" si="11"/>
        <v>15.372135162353516</v>
      </c>
      <c r="D59" s="1">
        <f t="shared" si="12"/>
        <v>33283</v>
      </c>
      <c r="E59">
        <f t="shared" si="13"/>
        <v>1991</v>
      </c>
      <c r="F59" s="13">
        <f t="shared" si="14"/>
        <v>45</v>
      </c>
      <c r="G59">
        <v>32.700000000000003</v>
      </c>
      <c r="H59">
        <v>20.7</v>
      </c>
      <c r="I59">
        <f t="shared" si="0"/>
        <v>18.700000762939453</v>
      </c>
    </row>
    <row r="60" spans="1:9">
      <c r="A60" s="1">
        <v>33284</v>
      </c>
      <c r="B60">
        <f t="shared" si="10"/>
        <v>832.30196571350098</v>
      </c>
      <c r="C60">
        <f t="shared" si="11"/>
        <v>15.377730369567871</v>
      </c>
      <c r="D60" s="1">
        <f t="shared" si="12"/>
        <v>33284</v>
      </c>
      <c r="E60">
        <f t="shared" si="13"/>
        <v>1991</v>
      </c>
      <c r="F60" s="13">
        <f t="shared" si="14"/>
        <v>46</v>
      </c>
      <c r="G60">
        <v>31.9</v>
      </c>
      <c r="H60">
        <v>19.5</v>
      </c>
      <c r="I60">
        <f t="shared" si="0"/>
        <v>17.700000762939453</v>
      </c>
    </row>
    <row r="61" spans="1:9">
      <c r="A61" s="1">
        <v>33285</v>
      </c>
      <c r="B61">
        <f t="shared" si="10"/>
        <v>851.45034408569336</v>
      </c>
      <c r="C61">
        <f t="shared" si="11"/>
        <v>15.383516311645508</v>
      </c>
      <c r="D61" s="1">
        <f t="shared" si="12"/>
        <v>33285</v>
      </c>
      <c r="E61">
        <f t="shared" si="13"/>
        <v>1991</v>
      </c>
      <c r="F61" s="13">
        <f t="shared" si="14"/>
        <v>47</v>
      </c>
      <c r="G61">
        <v>35.6</v>
      </c>
      <c r="H61">
        <v>19</v>
      </c>
      <c r="I61">
        <f t="shared" si="0"/>
        <v>19.148378372192383</v>
      </c>
    </row>
    <row r="62" spans="1:9">
      <c r="A62" s="1">
        <v>33286</v>
      </c>
      <c r="B62">
        <f t="shared" si="10"/>
        <v>868.60034370422363</v>
      </c>
      <c r="C62">
        <f t="shared" si="11"/>
        <v>15.389495849609375</v>
      </c>
      <c r="D62" s="1">
        <f t="shared" si="12"/>
        <v>33286</v>
      </c>
      <c r="E62">
        <f t="shared" si="13"/>
        <v>1991</v>
      </c>
      <c r="F62" s="13">
        <f t="shared" si="14"/>
        <v>48</v>
      </c>
      <c r="G62">
        <v>29</v>
      </c>
      <c r="H62">
        <v>21.3</v>
      </c>
      <c r="I62">
        <f t="shared" si="0"/>
        <v>17.149999618530273</v>
      </c>
    </row>
    <row r="63" spans="1:9">
      <c r="A63" s="1">
        <v>33287</v>
      </c>
      <c r="B63">
        <f t="shared" si="10"/>
        <v>885.50034332275391</v>
      </c>
      <c r="C63">
        <f t="shared" si="11"/>
        <v>15.395668983459473</v>
      </c>
      <c r="D63" s="1">
        <f t="shared" si="12"/>
        <v>33287</v>
      </c>
      <c r="E63">
        <f t="shared" si="13"/>
        <v>1991</v>
      </c>
      <c r="F63" s="13">
        <f t="shared" si="14"/>
        <v>49</v>
      </c>
      <c r="G63">
        <v>27.7</v>
      </c>
      <c r="H63">
        <v>22.1</v>
      </c>
      <c r="I63">
        <f t="shared" si="0"/>
        <v>16.899999618530273</v>
      </c>
    </row>
    <row r="64" spans="1:9">
      <c r="A64" s="1">
        <v>33288</v>
      </c>
      <c r="B64">
        <f t="shared" si="10"/>
        <v>901.50034236907959</v>
      </c>
      <c r="C64">
        <f t="shared" si="11"/>
        <v>15.402040481567383</v>
      </c>
      <c r="D64" s="1">
        <f t="shared" si="12"/>
        <v>33288</v>
      </c>
      <c r="E64">
        <f t="shared" si="13"/>
        <v>1991</v>
      </c>
      <c r="F64" s="13">
        <f t="shared" si="14"/>
        <v>50</v>
      </c>
      <c r="G64">
        <v>30.4</v>
      </c>
      <c r="H64">
        <v>17.600000000000001</v>
      </c>
      <c r="I64">
        <f t="shared" si="0"/>
        <v>15.999999046325684</v>
      </c>
    </row>
    <row r="65" spans="1:9">
      <c r="A65" s="1">
        <v>33289</v>
      </c>
      <c r="B65">
        <f t="shared" si="10"/>
        <v>917.11104488372803</v>
      </c>
      <c r="C65">
        <f t="shared" si="11"/>
        <v>15.408611297607422</v>
      </c>
      <c r="D65" s="1">
        <f t="shared" si="12"/>
        <v>33289</v>
      </c>
      <c r="E65">
        <f t="shared" si="13"/>
        <v>1991</v>
      </c>
      <c r="F65" s="13">
        <f t="shared" si="14"/>
        <v>51</v>
      </c>
      <c r="G65">
        <v>30</v>
      </c>
      <c r="H65">
        <v>17.2</v>
      </c>
      <c r="I65">
        <f t="shared" si="0"/>
        <v>15.610702514648438</v>
      </c>
    </row>
    <row r="66" spans="1:9">
      <c r="A66" s="1">
        <v>33290</v>
      </c>
      <c r="B66">
        <f t="shared" si="10"/>
        <v>931.72951507568359</v>
      </c>
      <c r="C66">
        <f t="shared" si="11"/>
        <v>15.415385246276855</v>
      </c>
      <c r="D66" s="1">
        <f t="shared" si="12"/>
        <v>33290</v>
      </c>
      <c r="E66">
        <f t="shared" si="13"/>
        <v>1991</v>
      </c>
      <c r="F66" s="13">
        <f t="shared" si="14"/>
        <v>52</v>
      </c>
      <c r="G66">
        <v>29.8</v>
      </c>
      <c r="H66">
        <v>15</v>
      </c>
      <c r="I66">
        <f t="shared" si="0"/>
        <v>14.618470191955566</v>
      </c>
    </row>
    <row r="67" spans="1:9">
      <c r="A67" s="1">
        <v>33291</v>
      </c>
      <c r="B67">
        <f t="shared" si="10"/>
        <v>947.52265644073486</v>
      </c>
      <c r="C67">
        <f t="shared" si="11"/>
        <v>15.42236328125</v>
      </c>
      <c r="D67" s="1">
        <f t="shared" si="12"/>
        <v>33291</v>
      </c>
      <c r="E67">
        <f t="shared" si="13"/>
        <v>1991</v>
      </c>
      <c r="F67" s="13">
        <f t="shared" si="14"/>
        <v>53</v>
      </c>
      <c r="G67">
        <v>31.3</v>
      </c>
      <c r="H67">
        <v>16.100000000000001</v>
      </c>
      <c r="I67">
        <f t="shared" si="0"/>
        <v>15.79314136505127</v>
      </c>
    </row>
    <row r="68" spans="1:9">
      <c r="A68" s="1">
        <v>33292</v>
      </c>
      <c r="B68">
        <f t="shared" si="10"/>
        <v>962.49668121337891</v>
      </c>
      <c r="C68">
        <f t="shared" si="11"/>
        <v>15.429548263549805</v>
      </c>
      <c r="D68" s="1">
        <f t="shared" si="12"/>
        <v>33292</v>
      </c>
      <c r="E68">
        <f t="shared" si="13"/>
        <v>1991</v>
      </c>
      <c r="F68" s="13">
        <f t="shared" si="14"/>
        <v>54</v>
      </c>
      <c r="G68">
        <v>30.2</v>
      </c>
      <c r="H68">
        <v>15.4</v>
      </c>
      <c r="I68">
        <f t="shared" si="0"/>
        <v>14.974024772644043</v>
      </c>
    </row>
    <row r="69" spans="1:9">
      <c r="A69" s="1">
        <v>33293</v>
      </c>
      <c r="B69">
        <f t="shared" si="10"/>
        <v>976.50820541381836</v>
      </c>
      <c r="C69">
        <f t="shared" si="11"/>
        <v>15.436941146850586</v>
      </c>
      <c r="D69" s="1">
        <f t="shared" si="12"/>
        <v>33293</v>
      </c>
      <c r="E69">
        <f t="shared" si="13"/>
        <v>1991</v>
      </c>
      <c r="F69" s="13">
        <f t="shared" si="14"/>
        <v>55</v>
      </c>
      <c r="G69">
        <v>27.6</v>
      </c>
      <c r="H69">
        <v>16.2</v>
      </c>
      <c r="I69">
        <f t="shared" si="0"/>
        <v>14.011524200439453</v>
      </c>
    </row>
    <row r="70" spans="1:9">
      <c r="A70" s="1">
        <v>33294</v>
      </c>
      <c r="B70">
        <f t="shared" si="10"/>
        <v>992.37764739990234</v>
      </c>
      <c r="C70">
        <f t="shared" si="11"/>
        <v>15.444545745849609</v>
      </c>
      <c r="D70" s="1">
        <f t="shared" si="12"/>
        <v>33294</v>
      </c>
      <c r="E70">
        <f t="shared" si="13"/>
        <v>1991</v>
      </c>
      <c r="F70" s="13">
        <f t="shared" si="14"/>
        <v>56</v>
      </c>
      <c r="G70">
        <v>30.7</v>
      </c>
      <c r="H70">
        <v>17</v>
      </c>
      <c r="I70">
        <f t="shared" si="0"/>
        <v>15.869441986083984</v>
      </c>
    </row>
    <row r="71" spans="1:9">
      <c r="A71" s="1">
        <v>33295</v>
      </c>
      <c r="B71">
        <f t="shared" si="10"/>
        <v>1008.8276481628418</v>
      </c>
      <c r="C71">
        <f t="shared" si="11"/>
        <v>15.452363014221191</v>
      </c>
      <c r="D71" s="1">
        <f t="shared" si="12"/>
        <v>33295</v>
      </c>
      <c r="E71">
        <f t="shared" si="13"/>
        <v>1991</v>
      </c>
      <c r="F71" s="13">
        <f t="shared" si="14"/>
        <v>57</v>
      </c>
      <c r="G71">
        <v>30.5</v>
      </c>
      <c r="H71">
        <v>18.399999999999999</v>
      </c>
      <c r="I71">
        <f t="shared" si="0"/>
        <v>16.450000762939453</v>
      </c>
    </row>
    <row r="72" spans="1:9">
      <c r="A72" s="1">
        <v>33296</v>
      </c>
      <c r="B72">
        <f t="shared" si="10"/>
        <v>1025.0351886749268</v>
      </c>
      <c r="C72">
        <f t="shared" si="11"/>
        <v>15.460393905639648</v>
      </c>
      <c r="D72" s="1">
        <f t="shared" si="12"/>
        <v>33296</v>
      </c>
      <c r="E72">
        <f t="shared" si="13"/>
        <v>1991</v>
      </c>
      <c r="F72" s="13">
        <f t="shared" si="14"/>
        <v>58</v>
      </c>
      <c r="G72">
        <v>31.2</v>
      </c>
      <c r="H72">
        <v>17.2</v>
      </c>
      <c r="I72">
        <f t="shared" si="0"/>
        <v>16.207540512084961</v>
      </c>
    </row>
    <row r="73" spans="1:9">
      <c r="A73" s="1">
        <v>33297</v>
      </c>
      <c r="B73">
        <f t="shared" si="10"/>
        <v>1039.2627248764038</v>
      </c>
      <c r="C73">
        <f t="shared" si="11"/>
        <v>15.46864128112793</v>
      </c>
      <c r="D73" s="1">
        <f t="shared" si="12"/>
        <v>33297</v>
      </c>
      <c r="E73">
        <f t="shared" si="13"/>
        <v>1991</v>
      </c>
      <c r="F73" s="13">
        <f t="shared" si="14"/>
        <v>59</v>
      </c>
      <c r="G73">
        <v>28.2</v>
      </c>
      <c r="H73">
        <v>16</v>
      </c>
      <c r="I73">
        <f t="shared" si="0"/>
        <v>14.227536201477051</v>
      </c>
    </row>
    <row r="74" spans="1:9">
      <c r="A74" s="1">
        <v>33298</v>
      </c>
      <c r="B74">
        <f t="shared" si="10"/>
        <v>1057.4627256393433</v>
      </c>
      <c r="C74">
        <f t="shared" si="11"/>
        <v>15.477105140686035</v>
      </c>
      <c r="D74" s="1">
        <f t="shared" si="12"/>
        <v>33298</v>
      </c>
      <c r="E74">
        <f t="shared" si="13"/>
        <v>1991</v>
      </c>
      <c r="F74" s="13">
        <f t="shared" si="14"/>
        <v>60</v>
      </c>
      <c r="G74">
        <v>33.799999999999997</v>
      </c>
      <c r="H74">
        <v>18.600000000000001</v>
      </c>
      <c r="I74">
        <f t="shared" si="0"/>
        <v>18.200000762939453</v>
      </c>
    </row>
    <row r="75" spans="1:9">
      <c r="A75" s="1">
        <v>33299</v>
      </c>
      <c r="B75">
        <f t="shared" si="10"/>
        <v>1073.2127246856689</v>
      </c>
      <c r="C75">
        <f t="shared" si="11"/>
        <v>15.485787391662598</v>
      </c>
      <c r="D75" s="1">
        <f t="shared" si="12"/>
        <v>33299</v>
      </c>
      <c r="E75">
        <f t="shared" si="13"/>
        <v>1991</v>
      </c>
      <c r="F75" s="13">
        <f t="shared" si="14"/>
        <v>61</v>
      </c>
      <c r="G75">
        <v>25.1</v>
      </c>
      <c r="H75">
        <v>22.4</v>
      </c>
      <c r="I75">
        <f t="shared" si="0"/>
        <v>15.749999046325684</v>
      </c>
    </row>
    <row r="76" spans="1:9">
      <c r="A76" s="1">
        <v>33300</v>
      </c>
      <c r="B76">
        <f t="shared" si="10"/>
        <v>1086.0920991897583</v>
      </c>
      <c r="C76">
        <f t="shared" si="11"/>
        <v>15.49468994140625</v>
      </c>
      <c r="D76" s="1">
        <f t="shared" si="12"/>
        <v>33300</v>
      </c>
      <c r="E76">
        <f t="shared" si="13"/>
        <v>1991</v>
      </c>
      <c r="F76" s="13">
        <f t="shared" si="14"/>
        <v>62</v>
      </c>
      <c r="G76">
        <v>25.3</v>
      </c>
      <c r="H76">
        <v>16.2</v>
      </c>
      <c r="I76">
        <f t="shared" si="0"/>
        <v>12.879374504089355</v>
      </c>
    </row>
    <row r="77" spans="1:9">
      <c r="A77" s="1">
        <v>33301</v>
      </c>
      <c r="B77">
        <f t="shared" si="10"/>
        <v>1101.192099571228</v>
      </c>
      <c r="C77">
        <f t="shared" si="11"/>
        <v>15.503815650939941</v>
      </c>
      <c r="D77" s="1">
        <f t="shared" si="12"/>
        <v>33301</v>
      </c>
      <c r="E77">
        <f t="shared" si="13"/>
        <v>1991</v>
      </c>
      <c r="F77" s="13">
        <f t="shared" si="14"/>
        <v>63</v>
      </c>
      <c r="G77">
        <v>27.1</v>
      </c>
      <c r="H77">
        <v>19.100000000000001</v>
      </c>
      <c r="I77">
        <f t="shared" si="0"/>
        <v>15.100000381469727</v>
      </c>
    </row>
    <row r="78" spans="1:9">
      <c r="A78" s="1">
        <v>33302</v>
      </c>
      <c r="B78">
        <f t="shared" si="10"/>
        <v>1116.3849964141846</v>
      </c>
      <c r="C78">
        <f t="shared" si="11"/>
        <v>15.513160705566406</v>
      </c>
      <c r="D78" s="1">
        <f t="shared" si="12"/>
        <v>33302</v>
      </c>
      <c r="E78">
        <f t="shared" si="13"/>
        <v>1991</v>
      </c>
      <c r="F78" s="13">
        <f t="shared" si="14"/>
        <v>64</v>
      </c>
      <c r="G78">
        <v>30</v>
      </c>
      <c r="H78">
        <v>16.2</v>
      </c>
      <c r="I78">
        <f t="shared" si="0"/>
        <v>15.192896842956543</v>
      </c>
    </row>
    <row r="79" spans="1:9">
      <c r="A79" s="1">
        <v>33303</v>
      </c>
      <c r="B79">
        <f t="shared" si="10"/>
        <v>1131.1702547073364</v>
      </c>
      <c r="C79">
        <f t="shared" si="11"/>
        <v>15.522730827331543</v>
      </c>
      <c r="D79" s="1">
        <f t="shared" si="12"/>
        <v>33303</v>
      </c>
      <c r="E79">
        <f t="shared" si="13"/>
        <v>1991</v>
      </c>
      <c r="F79" s="13">
        <f t="shared" si="14"/>
        <v>65</v>
      </c>
      <c r="G79">
        <v>30.3</v>
      </c>
      <c r="H79">
        <v>14.8</v>
      </c>
      <c r="I79">
        <f t="shared" ref="I79:I142" si="36">tt(G79,H79,$C$6:$F$6,$C$7:$F$7)</f>
        <v>14.785258293151855</v>
      </c>
    </row>
    <row r="80" spans="1:9">
      <c r="A80" s="1">
        <v>33304</v>
      </c>
      <c r="B80">
        <f t="shared" ref="B80:B143" si="37">B79+I80</f>
        <v>1147.0202550888062</v>
      </c>
      <c r="C80">
        <f t="shared" ref="C80:C143" si="38">day_length(F80,$I$7,$C$13)</f>
        <v>15.532522201538086</v>
      </c>
      <c r="D80" s="1">
        <f t="shared" ref="D80:D143" si="39">A80</f>
        <v>33304</v>
      </c>
      <c r="E80">
        <f t="shared" ref="E80:E143" si="40">YEAR(A80)</f>
        <v>1991</v>
      </c>
      <c r="F80" s="13">
        <f t="shared" ref="F80:F143" si="41">A80-DATE(E80,1,1)+1</f>
        <v>66</v>
      </c>
      <c r="G80">
        <v>29.1</v>
      </c>
      <c r="H80">
        <v>18.600000000000001</v>
      </c>
      <c r="I80">
        <f t="shared" si="36"/>
        <v>15.850000381469727</v>
      </c>
    </row>
    <row r="81" spans="1:9">
      <c r="A81" s="1">
        <v>33305</v>
      </c>
      <c r="B81">
        <f t="shared" si="37"/>
        <v>1162.570255279541</v>
      </c>
      <c r="C81">
        <f t="shared" si="38"/>
        <v>15.542539596557617</v>
      </c>
      <c r="D81" s="1">
        <f t="shared" si="39"/>
        <v>33305</v>
      </c>
      <c r="E81">
        <f t="shared" si="40"/>
        <v>1991</v>
      </c>
      <c r="F81" s="13">
        <f t="shared" si="41"/>
        <v>67</v>
      </c>
      <c r="G81">
        <v>29.1</v>
      </c>
      <c r="H81">
        <v>18</v>
      </c>
      <c r="I81">
        <f t="shared" si="36"/>
        <v>15.550000190734863</v>
      </c>
    </row>
    <row r="82" spans="1:9">
      <c r="A82" s="1">
        <v>33306</v>
      </c>
      <c r="B82">
        <f t="shared" si="37"/>
        <v>1177.547137260437</v>
      </c>
      <c r="C82">
        <f t="shared" si="38"/>
        <v>15.552781105041504</v>
      </c>
      <c r="D82" s="1">
        <f t="shared" si="39"/>
        <v>33306</v>
      </c>
      <c r="E82">
        <f t="shared" si="40"/>
        <v>1991</v>
      </c>
      <c r="F82" s="13">
        <f t="shared" si="41"/>
        <v>68</v>
      </c>
      <c r="G82">
        <v>29.4</v>
      </c>
      <c r="H82">
        <v>16.399999999999999</v>
      </c>
      <c r="I82">
        <f t="shared" si="36"/>
        <v>14.976881980895996</v>
      </c>
    </row>
    <row r="83" spans="1:9">
      <c r="A83" s="1">
        <v>33307</v>
      </c>
      <c r="B83">
        <f t="shared" si="37"/>
        <v>1191.8315124511719</v>
      </c>
      <c r="C83">
        <f t="shared" si="38"/>
        <v>15.563248634338379</v>
      </c>
      <c r="D83" s="1">
        <f t="shared" si="39"/>
        <v>33307</v>
      </c>
      <c r="E83">
        <f t="shared" si="40"/>
        <v>1991</v>
      </c>
      <c r="F83" s="13">
        <f t="shared" si="41"/>
        <v>69</v>
      </c>
      <c r="G83">
        <v>29.5</v>
      </c>
      <c r="H83">
        <v>14.5</v>
      </c>
      <c r="I83">
        <f t="shared" si="36"/>
        <v>14.284375190734863</v>
      </c>
    </row>
    <row r="84" spans="1:9">
      <c r="A84" s="1">
        <v>33308</v>
      </c>
      <c r="B84">
        <f t="shared" si="37"/>
        <v>1207.5371952056885</v>
      </c>
      <c r="C84">
        <f t="shared" si="38"/>
        <v>15.573940277099609</v>
      </c>
      <c r="D84" s="1">
        <f t="shared" si="39"/>
        <v>33308</v>
      </c>
      <c r="E84">
        <f t="shared" si="40"/>
        <v>1991</v>
      </c>
      <c r="F84" s="13">
        <f t="shared" si="41"/>
        <v>70</v>
      </c>
      <c r="G84">
        <v>30.8</v>
      </c>
      <c r="H84">
        <v>16.5</v>
      </c>
      <c r="I84">
        <f t="shared" si="36"/>
        <v>15.705682754516602</v>
      </c>
    </row>
    <row r="85" spans="1:9">
      <c r="A85" s="1">
        <v>33309</v>
      </c>
      <c r="B85">
        <f t="shared" si="37"/>
        <v>1223.818286895752</v>
      </c>
      <c r="C85">
        <f t="shared" si="38"/>
        <v>15.584859848022461</v>
      </c>
      <c r="D85" s="1">
        <f t="shared" si="39"/>
        <v>33309</v>
      </c>
      <c r="E85">
        <f t="shared" si="40"/>
        <v>1991</v>
      </c>
      <c r="F85" s="13">
        <f t="shared" si="41"/>
        <v>71</v>
      </c>
      <c r="G85">
        <v>33.5</v>
      </c>
      <c r="H85">
        <v>14.6</v>
      </c>
      <c r="I85">
        <f t="shared" si="36"/>
        <v>16.281091690063477</v>
      </c>
    </row>
    <row r="86" spans="1:9">
      <c r="A86" s="1">
        <v>33310</v>
      </c>
      <c r="B86">
        <f t="shared" si="37"/>
        <v>1240.318286895752</v>
      </c>
      <c r="C86">
        <f t="shared" si="38"/>
        <v>15.596000671386719</v>
      </c>
      <c r="D86" s="1">
        <f t="shared" si="39"/>
        <v>33310</v>
      </c>
      <c r="E86">
        <f t="shared" si="40"/>
        <v>1991</v>
      </c>
      <c r="F86" s="13">
        <f t="shared" si="41"/>
        <v>72</v>
      </c>
      <c r="G86">
        <v>29.2</v>
      </c>
      <c r="H86">
        <v>19.8</v>
      </c>
      <c r="I86">
        <f t="shared" si="36"/>
        <v>16.5</v>
      </c>
    </row>
    <row r="87" spans="1:9">
      <c r="A87" s="1">
        <v>33311</v>
      </c>
      <c r="B87">
        <f t="shared" si="37"/>
        <v>1255.8395738601685</v>
      </c>
      <c r="C87">
        <f t="shared" si="38"/>
        <v>15.607370376586914</v>
      </c>
      <c r="D87" s="1">
        <f t="shared" si="39"/>
        <v>33311</v>
      </c>
      <c r="E87">
        <f t="shared" si="40"/>
        <v>1991</v>
      </c>
      <c r="F87" s="13">
        <f t="shared" si="41"/>
        <v>73</v>
      </c>
      <c r="G87">
        <v>30</v>
      </c>
      <c r="H87">
        <v>17</v>
      </c>
      <c r="I87">
        <f t="shared" si="36"/>
        <v>15.521286964416504</v>
      </c>
    </row>
    <row r="88" spans="1:9">
      <c r="A88" s="1">
        <v>33312</v>
      </c>
      <c r="B88">
        <f t="shared" si="37"/>
        <v>1269.8032960891724</v>
      </c>
      <c r="C88">
        <f t="shared" si="38"/>
        <v>15.618963241577148</v>
      </c>
      <c r="D88" s="1">
        <f t="shared" si="39"/>
        <v>33312</v>
      </c>
      <c r="E88">
        <f t="shared" si="40"/>
        <v>1991</v>
      </c>
      <c r="F88" s="13">
        <f t="shared" si="41"/>
        <v>74</v>
      </c>
      <c r="G88">
        <v>29.2</v>
      </c>
      <c r="H88">
        <v>14</v>
      </c>
      <c r="I88">
        <f t="shared" si="36"/>
        <v>13.963722229003906</v>
      </c>
    </row>
    <row r="89" spans="1:9">
      <c r="A89" s="1">
        <v>33313</v>
      </c>
      <c r="B89">
        <f t="shared" si="37"/>
        <v>1284.924991607666</v>
      </c>
      <c r="C89">
        <f t="shared" si="38"/>
        <v>15.630780220031738</v>
      </c>
      <c r="D89" s="1">
        <f t="shared" si="39"/>
        <v>33313</v>
      </c>
      <c r="E89">
        <f t="shared" si="40"/>
        <v>1991</v>
      </c>
      <c r="F89" s="13">
        <f t="shared" si="41"/>
        <v>75</v>
      </c>
      <c r="G89">
        <v>30.5</v>
      </c>
      <c r="H89">
        <v>15.4</v>
      </c>
      <c r="I89">
        <f t="shared" si="36"/>
        <v>15.121695518493652</v>
      </c>
    </row>
    <row r="90" spans="1:9">
      <c r="A90" s="1">
        <v>33314</v>
      </c>
      <c r="B90">
        <f t="shared" si="37"/>
        <v>1300.4185018539429</v>
      </c>
      <c r="C90">
        <f t="shared" si="38"/>
        <v>15.642819404602051</v>
      </c>
      <c r="D90" s="1">
        <f t="shared" si="39"/>
        <v>33314</v>
      </c>
      <c r="E90">
        <f t="shared" si="40"/>
        <v>1991</v>
      </c>
      <c r="F90" s="13">
        <f t="shared" si="41"/>
        <v>76</v>
      </c>
      <c r="G90">
        <v>31.9</v>
      </c>
      <c r="H90">
        <v>14.6</v>
      </c>
      <c r="I90">
        <f t="shared" si="36"/>
        <v>15.493510246276855</v>
      </c>
    </row>
    <row r="91" spans="1:9">
      <c r="A91" s="1">
        <v>33315</v>
      </c>
      <c r="B91">
        <f t="shared" si="37"/>
        <v>1315.7547817230225</v>
      </c>
      <c r="C91">
        <f t="shared" si="38"/>
        <v>15.655082702636719</v>
      </c>
      <c r="D91" s="1">
        <f t="shared" si="39"/>
        <v>33315</v>
      </c>
      <c r="E91">
        <f t="shared" si="40"/>
        <v>1991</v>
      </c>
      <c r="F91" s="13">
        <f t="shared" si="41"/>
        <v>77</v>
      </c>
      <c r="G91">
        <v>31.5</v>
      </c>
      <c r="H91">
        <v>14.7</v>
      </c>
      <c r="I91">
        <f t="shared" si="36"/>
        <v>15.33627986907959</v>
      </c>
    </row>
    <row r="92" spans="1:9">
      <c r="A92" s="1">
        <v>33316</v>
      </c>
      <c r="B92">
        <f t="shared" si="37"/>
        <v>1331.2592811584473</v>
      </c>
      <c r="C92">
        <f t="shared" si="38"/>
        <v>15.667567253112793</v>
      </c>
      <c r="D92" s="1">
        <f t="shared" si="39"/>
        <v>33316</v>
      </c>
      <c r="E92">
        <f t="shared" si="40"/>
        <v>1991</v>
      </c>
      <c r="F92" s="13">
        <f t="shared" si="41"/>
        <v>78</v>
      </c>
      <c r="G92">
        <v>31.6</v>
      </c>
      <c r="H92">
        <v>15</v>
      </c>
      <c r="I92">
        <f t="shared" si="36"/>
        <v>15.504499435424805</v>
      </c>
    </row>
    <row r="93" spans="1:9">
      <c r="A93" s="1">
        <v>33317</v>
      </c>
      <c r="B93">
        <f t="shared" si="37"/>
        <v>1347.0113296508789</v>
      </c>
      <c r="C93">
        <f t="shared" si="38"/>
        <v>15.680273056030273</v>
      </c>
      <c r="D93" s="1">
        <f t="shared" si="39"/>
        <v>33317</v>
      </c>
      <c r="E93">
        <f t="shared" si="40"/>
        <v>1991</v>
      </c>
      <c r="F93" s="13">
        <f t="shared" si="41"/>
        <v>79</v>
      </c>
      <c r="G93">
        <v>31.7</v>
      </c>
      <c r="H93">
        <v>15.5</v>
      </c>
      <c r="I93">
        <f t="shared" si="36"/>
        <v>15.752048492431641</v>
      </c>
    </row>
    <row r="94" spans="1:9">
      <c r="A94" s="1">
        <v>33318</v>
      </c>
      <c r="B94">
        <f t="shared" si="37"/>
        <v>1363.1982612609863</v>
      </c>
      <c r="C94">
        <f t="shared" si="38"/>
        <v>15.693195343017578</v>
      </c>
      <c r="D94" s="1">
        <f t="shared" si="39"/>
        <v>33318</v>
      </c>
      <c r="E94">
        <f t="shared" si="40"/>
        <v>1991</v>
      </c>
      <c r="F94" s="13">
        <f t="shared" si="41"/>
        <v>80</v>
      </c>
      <c r="G94">
        <v>32.1</v>
      </c>
      <c r="H94">
        <v>16.100000000000001</v>
      </c>
      <c r="I94">
        <f t="shared" si="36"/>
        <v>16.186931610107422</v>
      </c>
    </row>
    <row r="95" spans="1:9">
      <c r="A95" s="1">
        <v>33319</v>
      </c>
      <c r="B95">
        <f t="shared" si="37"/>
        <v>1381.0982608795166</v>
      </c>
      <c r="C95">
        <f t="shared" si="38"/>
        <v>15.706336975097656</v>
      </c>
      <c r="D95" s="1">
        <f t="shared" si="39"/>
        <v>33319</v>
      </c>
      <c r="E95">
        <f t="shared" si="40"/>
        <v>1991</v>
      </c>
      <c r="F95" s="13">
        <f t="shared" si="41"/>
        <v>81</v>
      </c>
      <c r="G95">
        <v>34.1</v>
      </c>
      <c r="H95">
        <v>17.7</v>
      </c>
      <c r="I95">
        <f t="shared" si="36"/>
        <v>17.899999618530273</v>
      </c>
    </row>
    <row r="96" spans="1:9">
      <c r="A96" s="1">
        <v>33320</v>
      </c>
      <c r="B96">
        <f t="shared" si="37"/>
        <v>1398.0769863128662</v>
      </c>
      <c r="C96">
        <f t="shared" si="38"/>
        <v>15.719695091247559</v>
      </c>
      <c r="D96" s="1">
        <f t="shared" si="39"/>
        <v>33320</v>
      </c>
      <c r="E96">
        <f t="shared" si="40"/>
        <v>1991</v>
      </c>
      <c r="F96" s="13">
        <f t="shared" si="41"/>
        <v>82</v>
      </c>
      <c r="G96">
        <v>33.200000000000003</v>
      </c>
      <c r="H96">
        <v>16.7</v>
      </c>
      <c r="I96">
        <f t="shared" si="36"/>
        <v>16.978725433349609</v>
      </c>
    </row>
    <row r="97" spans="1:9">
      <c r="A97" s="1">
        <v>33321</v>
      </c>
      <c r="B97">
        <f t="shared" si="37"/>
        <v>1411.3142499923706</v>
      </c>
      <c r="C97">
        <f t="shared" si="38"/>
        <v>15.733263969421387</v>
      </c>
      <c r="D97" s="1">
        <f t="shared" si="39"/>
        <v>33321</v>
      </c>
      <c r="E97">
        <f t="shared" si="40"/>
        <v>1991</v>
      </c>
      <c r="F97" s="13">
        <f t="shared" si="41"/>
        <v>83</v>
      </c>
      <c r="G97">
        <v>29.6</v>
      </c>
      <c r="H97">
        <v>11.4</v>
      </c>
      <c r="I97">
        <f t="shared" si="36"/>
        <v>13.237263679504395</v>
      </c>
    </row>
    <row r="98" spans="1:9">
      <c r="A98" s="1">
        <v>33322</v>
      </c>
      <c r="B98">
        <f t="shared" si="37"/>
        <v>1429.6066370010376</v>
      </c>
      <c r="C98">
        <f t="shared" si="38"/>
        <v>15.74704647064209</v>
      </c>
      <c r="D98" s="1">
        <f t="shared" si="39"/>
        <v>33322</v>
      </c>
      <c r="E98">
        <f t="shared" si="40"/>
        <v>1991</v>
      </c>
      <c r="F98" s="13">
        <f t="shared" si="41"/>
        <v>84</v>
      </c>
      <c r="G98">
        <v>35.4</v>
      </c>
      <c r="H98">
        <v>17.399999999999999</v>
      </c>
      <c r="I98">
        <f t="shared" si="36"/>
        <v>18.292387008666992</v>
      </c>
    </row>
    <row r="99" spans="1:9">
      <c r="A99" s="1">
        <v>33323</v>
      </c>
      <c r="B99">
        <f t="shared" si="37"/>
        <v>1446.7758703231812</v>
      </c>
      <c r="C99">
        <f t="shared" si="38"/>
        <v>15.761040687561035</v>
      </c>
      <c r="D99" s="1">
        <f t="shared" si="39"/>
        <v>33323</v>
      </c>
      <c r="E99">
        <f t="shared" si="40"/>
        <v>1991</v>
      </c>
      <c r="F99" s="13">
        <f t="shared" si="41"/>
        <v>85</v>
      </c>
      <c r="G99">
        <v>37</v>
      </c>
      <c r="H99">
        <v>13.5</v>
      </c>
      <c r="I99">
        <f t="shared" si="36"/>
        <v>17.169233322143555</v>
      </c>
    </row>
    <row r="100" spans="1:9">
      <c r="A100" s="1">
        <v>33324</v>
      </c>
      <c r="B100">
        <f t="shared" si="37"/>
        <v>1463.8704099655151</v>
      </c>
      <c r="C100">
        <f t="shared" si="38"/>
        <v>15.775238037109375</v>
      </c>
      <c r="D100" s="1">
        <f t="shared" si="39"/>
        <v>33324</v>
      </c>
      <c r="E100">
        <f t="shared" si="40"/>
        <v>1991</v>
      </c>
      <c r="F100" s="13">
        <f t="shared" si="41"/>
        <v>86</v>
      </c>
      <c r="G100">
        <v>37.6</v>
      </c>
      <c r="H100">
        <v>12.9</v>
      </c>
      <c r="I100">
        <f t="shared" si="36"/>
        <v>17.094539642333984</v>
      </c>
    </row>
    <row r="101" spans="1:9">
      <c r="A101" s="1">
        <v>33325</v>
      </c>
      <c r="B101">
        <f t="shared" si="37"/>
        <v>1480.734580039978</v>
      </c>
      <c r="C101">
        <f t="shared" si="38"/>
        <v>15.789641380310059</v>
      </c>
      <c r="D101" s="1">
        <f t="shared" si="39"/>
        <v>33325</v>
      </c>
      <c r="E101">
        <f t="shared" si="40"/>
        <v>1991</v>
      </c>
      <c r="F101" s="13">
        <f t="shared" si="41"/>
        <v>87</v>
      </c>
      <c r="G101">
        <v>32.700000000000003</v>
      </c>
      <c r="H101">
        <v>17</v>
      </c>
      <c r="I101">
        <f t="shared" si="36"/>
        <v>16.864170074462891</v>
      </c>
    </row>
    <row r="102" spans="1:9">
      <c r="A102" s="1">
        <v>33326</v>
      </c>
      <c r="B102">
        <f t="shared" si="37"/>
        <v>1497.234580039978</v>
      </c>
      <c r="C102">
        <f t="shared" si="38"/>
        <v>15.80424690246582</v>
      </c>
      <c r="D102" s="1">
        <f t="shared" si="39"/>
        <v>33326</v>
      </c>
      <c r="E102">
        <f t="shared" si="40"/>
        <v>1991</v>
      </c>
      <c r="F102" s="13">
        <f t="shared" si="41"/>
        <v>88</v>
      </c>
      <c r="G102">
        <v>30.7</v>
      </c>
      <c r="H102">
        <v>18.3</v>
      </c>
      <c r="I102">
        <f t="shared" si="36"/>
        <v>16.5</v>
      </c>
    </row>
    <row r="103" spans="1:9">
      <c r="A103" s="1">
        <v>33327</v>
      </c>
      <c r="B103">
        <f t="shared" si="37"/>
        <v>1511.8345804214478</v>
      </c>
      <c r="C103">
        <f t="shared" si="38"/>
        <v>15.819051742553711</v>
      </c>
      <c r="D103" s="1">
        <f t="shared" si="39"/>
        <v>33327</v>
      </c>
      <c r="E103">
        <f t="shared" si="40"/>
        <v>1991</v>
      </c>
      <c r="F103" s="13">
        <f t="shared" si="41"/>
        <v>89</v>
      </c>
      <c r="G103">
        <v>27.5</v>
      </c>
      <c r="H103">
        <v>17.7</v>
      </c>
      <c r="I103">
        <f t="shared" si="36"/>
        <v>14.600000381469727</v>
      </c>
    </row>
    <row r="104" spans="1:9">
      <c r="A104" s="1">
        <v>33328</v>
      </c>
      <c r="B104">
        <f t="shared" si="37"/>
        <v>1528.6845788955688</v>
      </c>
      <c r="C104">
        <f t="shared" si="38"/>
        <v>15.834050178527832</v>
      </c>
      <c r="D104" s="1">
        <f t="shared" si="39"/>
        <v>33328</v>
      </c>
      <c r="E104">
        <f t="shared" si="40"/>
        <v>1991</v>
      </c>
      <c r="F104" s="13">
        <f t="shared" si="41"/>
        <v>90</v>
      </c>
      <c r="G104">
        <v>30</v>
      </c>
      <c r="H104">
        <v>19.7</v>
      </c>
      <c r="I104">
        <f t="shared" si="36"/>
        <v>16.849998474121094</v>
      </c>
    </row>
    <row r="105" spans="1:9">
      <c r="A105" s="1">
        <v>33329</v>
      </c>
      <c r="B105">
        <f t="shared" si="37"/>
        <v>1545.274863243103</v>
      </c>
      <c r="C105">
        <f t="shared" si="38"/>
        <v>15.8492431640625</v>
      </c>
      <c r="D105" s="1">
        <f t="shared" si="39"/>
        <v>33329</v>
      </c>
      <c r="E105">
        <f t="shared" si="40"/>
        <v>1991</v>
      </c>
      <c r="F105" s="13">
        <f t="shared" si="41"/>
        <v>91</v>
      </c>
      <c r="G105">
        <v>33</v>
      </c>
      <c r="H105">
        <v>16</v>
      </c>
      <c r="I105">
        <f t="shared" si="36"/>
        <v>16.59028434753418</v>
      </c>
    </row>
    <row r="106" spans="1:9">
      <c r="A106" s="1">
        <v>33330</v>
      </c>
      <c r="B106">
        <f t="shared" si="37"/>
        <v>1561.7741994857788</v>
      </c>
      <c r="C106">
        <f t="shared" si="38"/>
        <v>15.864622116088867</v>
      </c>
      <c r="D106" s="1">
        <f t="shared" si="39"/>
        <v>33330</v>
      </c>
      <c r="E106">
        <f t="shared" si="40"/>
        <v>1991</v>
      </c>
      <c r="F106" s="13">
        <f t="shared" si="41"/>
        <v>92</v>
      </c>
      <c r="G106">
        <v>35</v>
      </c>
      <c r="H106">
        <v>13.4</v>
      </c>
      <c r="I106">
        <f t="shared" si="36"/>
        <v>16.499336242675781</v>
      </c>
    </row>
    <row r="107" spans="1:9">
      <c r="A107" s="1">
        <v>33331</v>
      </c>
      <c r="B107">
        <f t="shared" si="37"/>
        <v>1578.1241979598999</v>
      </c>
      <c r="C107">
        <f t="shared" si="38"/>
        <v>15.880186080932617</v>
      </c>
      <c r="D107" s="1">
        <f t="shared" si="39"/>
        <v>33331</v>
      </c>
      <c r="E107">
        <f t="shared" si="40"/>
        <v>1991</v>
      </c>
      <c r="F107" s="13">
        <f t="shared" si="41"/>
        <v>93</v>
      </c>
      <c r="G107">
        <v>30</v>
      </c>
      <c r="H107">
        <v>18.7</v>
      </c>
      <c r="I107">
        <f t="shared" si="36"/>
        <v>16.349998474121094</v>
      </c>
    </row>
    <row r="108" spans="1:9">
      <c r="A108" s="1">
        <v>33332</v>
      </c>
      <c r="B108">
        <f t="shared" si="37"/>
        <v>1591.8632802963257</v>
      </c>
      <c r="C108">
        <f t="shared" si="38"/>
        <v>15.895932197570801</v>
      </c>
      <c r="D108" s="1">
        <f t="shared" si="39"/>
        <v>33332</v>
      </c>
      <c r="E108">
        <f t="shared" si="40"/>
        <v>1991</v>
      </c>
      <c r="F108" s="13">
        <f t="shared" si="41"/>
        <v>94</v>
      </c>
      <c r="G108">
        <v>29.1</v>
      </c>
      <c r="H108">
        <v>13.5</v>
      </c>
      <c r="I108">
        <f t="shared" si="36"/>
        <v>13.739082336425781</v>
      </c>
    </row>
    <row r="109" spans="1:9">
      <c r="A109" s="1">
        <v>33333</v>
      </c>
      <c r="B109">
        <f t="shared" si="37"/>
        <v>1605.2590646743774</v>
      </c>
      <c r="C109">
        <f t="shared" si="38"/>
        <v>15.911852836608887</v>
      </c>
      <c r="D109" s="1">
        <f t="shared" si="39"/>
        <v>33333</v>
      </c>
      <c r="E109">
        <f t="shared" si="40"/>
        <v>1991</v>
      </c>
      <c r="F109" s="13">
        <f t="shared" si="41"/>
        <v>95</v>
      </c>
      <c r="G109">
        <v>28.9</v>
      </c>
      <c r="H109">
        <v>12.8</v>
      </c>
      <c r="I109">
        <f t="shared" si="36"/>
        <v>13.395784378051758</v>
      </c>
    </row>
    <row r="110" spans="1:9">
      <c r="A110" s="1">
        <v>33334</v>
      </c>
      <c r="B110">
        <f t="shared" si="37"/>
        <v>1619.0688009262085</v>
      </c>
      <c r="C110">
        <f t="shared" si="38"/>
        <v>15.927945137023926</v>
      </c>
      <c r="D110" s="1">
        <f t="shared" si="39"/>
        <v>33334</v>
      </c>
      <c r="E110">
        <f t="shared" si="40"/>
        <v>1991</v>
      </c>
      <c r="F110" s="13">
        <f t="shared" si="41"/>
        <v>96</v>
      </c>
      <c r="G110">
        <v>29.1</v>
      </c>
      <c r="H110">
        <v>13.7</v>
      </c>
      <c r="I110">
        <f t="shared" si="36"/>
        <v>13.809736251831055</v>
      </c>
    </row>
    <row r="111" spans="1:9">
      <c r="A111" s="1">
        <v>33335</v>
      </c>
      <c r="B111">
        <f t="shared" si="37"/>
        <v>1633.5886754989624</v>
      </c>
      <c r="C111">
        <f t="shared" si="38"/>
        <v>15.944204330444336</v>
      </c>
      <c r="D111" s="1">
        <f t="shared" si="39"/>
        <v>33335</v>
      </c>
      <c r="E111">
        <f t="shared" si="40"/>
        <v>1991</v>
      </c>
      <c r="F111" s="13">
        <f t="shared" si="41"/>
        <v>97</v>
      </c>
      <c r="G111">
        <v>30.8</v>
      </c>
      <c r="H111">
        <v>13.4</v>
      </c>
      <c r="I111">
        <f t="shared" si="36"/>
        <v>14.519874572753906</v>
      </c>
    </row>
    <row r="112" spans="1:9">
      <c r="A112" s="1">
        <v>33336</v>
      </c>
      <c r="B112">
        <f t="shared" si="37"/>
        <v>1647.6561231613159</v>
      </c>
      <c r="C112">
        <f t="shared" si="38"/>
        <v>15.960625648498535</v>
      </c>
      <c r="D112" s="1">
        <f t="shared" si="39"/>
        <v>33336</v>
      </c>
      <c r="E112">
        <f t="shared" si="40"/>
        <v>1991</v>
      </c>
      <c r="F112" s="13">
        <f t="shared" si="41"/>
        <v>98</v>
      </c>
      <c r="G112">
        <v>28.6</v>
      </c>
      <c r="H112">
        <v>15.1</v>
      </c>
      <c r="I112">
        <f t="shared" si="36"/>
        <v>14.067447662353516</v>
      </c>
    </row>
    <row r="113" spans="1:9">
      <c r="A113" s="1">
        <v>33337</v>
      </c>
      <c r="B113">
        <f t="shared" si="37"/>
        <v>1661.7747344970703</v>
      </c>
      <c r="C113">
        <f t="shared" si="38"/>
        <v>15.977204322814941</v>
      </c>
      <c r="D113" s="1">
        <f t="shared" si="39"/>
        <v>33337</v>
      </c>
      <c r="E113">
        <f t="shared" si="40"/>
        <v>1991</v>
      </c>
      <c r="F113" s="13">
        <f t="shared" si="41"/>
        <v>99</v>
      </c>
      <c r="G113">
        <v>27</v>
      </c>
      <c r="H113">
        <v>17.2</v>
      </c>
      <c r="I113">
        <f t="shared" si="36"/>
        <v>14.118611335754395</v>
      </c>
    </row>
    <row r="114" spans="1:9">
      <c r="A114" s="1">
        <v>33338</v>
      </c>
      <c r="B114">
        <f t="shared" si="37"/>
        <v>1674.1641941070557</v>
      </c>
      <c r="C114">
        <f t="shared" si="38"/>
        <v>15.99393367767334</v>
      </c>
      <c r="D114" s="1">
        <f t="shared" si="39"/>
        <v>33338</v>
      </c>
      <c r="E114">
        <f t="shared" si="40"/>
        <v>1991</v>
      </c>
      <c r="F114" s="13">
        <f t="shared" si="41"/>
        <v>100</v>
      </c>
      <c r="G114">
        <v>25.7</v>
      </c>
      <c r="H114">
        <v>14.3</v>
      </c>
      <c r="I114">
        <f t="shared" si="36"/>
        <v>12.389459609985352</v>
      </c>
    </row>
    <row r="115" spans="1:9">
      <c r="A115" s="1">
        <v>33339</v>
      </c>
      <c r="B115">
        <f t="shared" si="37"/>
        <v>1686.6732091903687</v>
      </c>
      <c r="C115">
        <f t="shared" si="38"/>
        <v>16.010808944702148</v>
      </c>
      <c r="D115" s="1">
        <f t="shared" si="39"/>
        <v>33339</v>
      </c>
      <c r="E115">
        <f t="shared" si="40"/>
        <v>1991</v>
      </c>
      <c r="F115" s="13">
        <f t="shared" si="41"/>
        <v>101</v>
      </c>
      <c r="G115">
        <v>27.2</v>
      </c>
      <c r="H115">
        <v>12.6</v>
      </c>
      <c r="I115">
        <f t="shared" si="36"/>
        <v>12.509015083312988</v>
      </c>
    </row>
    <row r="116" spans="1:9">
      <c r="A116" s="1">
        <v>33340</v>
      </c>
      <c r="B116">
        <f t="shared" si="37"/>
        <v>1699.0893754959106</v>
      </c>
      <c r="C116">
        <f t="shared" si="38"/>
        <v>16.027824401855469</v>
      </c>
      <c r="D116" s="1">
        <f t="shared" si="39"/>
        <v>33340</v>
      </c>
      <c r="E116">
        <f t="shared" si="40"/>
        <v>1991</v>
      </c>
      <c r="F116" s="13">
        <f t="shared" si="41"/>
        <v>102</v>
      </c>
      <c r="G116">
        <v>28.3</v>
      </c>
      <c r="H116">
        <v>10.8</v>
      </c>
      <c r="I116">
        <f t="shared" si="36"/>
        <v>12.416166305541992</v>
      </c>
    </row>
    <row r="117" spans="1:9">
      <c r="A117" s="1">
        <v>33341</v>
      </c>
      <c r="B117">
        <f t="shared" si="37"/>
        <v>1711.4406652450562</v>
      </c>
      <c r="C117">
        <f t="shared" si="38"/>
        <v>16.044971466064453</v>
      </c>
      <c r="D117" s="1">
        <f t="shared" si="39"/>
        <v>33341</v>
      </c>
      <c r="E117">
        <f t="shared" si="40"/>
        <v>1991</v>
      </c>
      <c r="F117" s="13">
        <f t="shared" si="41"/>
        <v>103</v>
      </c>
      <c r="G117">
        <v>27.6</v>
      </c>
      <c r="H117">
        <v>11.6</v>
      </c>
      <c r="I117">
        <f t="shared" si="36"/>
        <v>12.351289749145508</v>
      </c>
    </row>
    <row r="118" spans="1:9">
      <c r="A118" s="1">
        <v>33342</v>
      </c>
      <c r="B118">
        <f t="shared" si="37"/>
        <v>1723.6554689407349</v>
      </c>
      <c r="C118">
        <f t="shared" si="38"/>
        <v>16.062248229980469</v>
      </c>
      <c r="D118" s="1">
        <f t="shared" si="39"/>
        <v>33342</v>
      </c>
      <c r="E118">
        <f t="shared" si="40"/>
        <v>1991</v>
      </c>
      <c r="F118" s="13">
        <f t="shared" si="41"/>
        <v>104</v>
      </c>
      <c r="G118">
        <v>28</v>
      </c>
      <c r="H118">
        <v>10.6</v>
      </c>
      <c r="I118">
        <f t="shared" si="36"/>
        <v>12.214803695678711</v>
      </c>
    </row>
    <row r="119" spans="1:9">
      <c r="A119" s="1">
        <v>33343</v>
      </c>
      <c r="B119">
        <f t="shared" si="37"/>
        <v>1737.9180936813354</v>
      </c>
      <c r="C119">
        <f t="shared" si="38"/>
        <v>16.079643249511719</v>
      </c>
      <c r="D119" s="1">
        <f t="shared" si="39"/>
        <v>33343</v>
      </c>
      <c r="E119">
        <f t="shared" si="40"/>
        <v>1991</v>
      </c>
      <c r="F119" s="13">
        <f t="shared" si="41"/>
        <v>105</v>
      </c>
      <c r="G119">
        <v>31</v>
      </c>
      <c r="H119">
        <v>12.4</v>
      </c>
      <c r="I119">
        <f t="shared" si="36"/>
        <v>14.262624740600586</v>
      </c>
    </row>
    <row r="120" spans="1:9">
      <c r="A120" s="1">
        <v>33344</v>
      </c>
      <c r="B120">
        <f t="shared" si="37"/>
        <v>1751.3519201278687</v>
      </c>
      <c r="C120">
        <f t="shared" si="38"/>
        <v>16.09715461730957</v>
      </c>
      <c r="D120" s="1">
        <f t="shared" si="39"/>
        <v>33344</v>
      </c>
      <c r="E120">
        <f t="shared" si="40"/>
        <v>1991</v>
      </c>
      <c r="F120" s="13">
        <f t="shared" si="41"/>
        <v>106</v>
      </c>
      <c r="G120">
        <v>29.2</v>
      </c>
      <c r="H120">
        <v>12.5</v>
      </c>
      <c r="I120">
        <f t="shared" si="36"/>
        <v>13.433826446533203</v>
      </c>
    </row>
    <row r="121" spans="1:9">
      <c r="A121" s="1">
        <v>33345</v>
      </c>
      <c r="B121">
        <f t="shared" si="37"/>
        <v>1764.5937175750732</v>
      </c>
      <c r="C121">
        <f t="shared" si="38"/>
        <v>16.114770889282227</v>
      </c>
      <c r="D121" s="1">
        <f t="shared" si="39"/>
        <v>33345</v>
      </c>
      <c r="E121">
        <f t="shared" si="40"/>
        <v>1991</v>
      </c>
      <c r="F121" s="13">
        <f t="shared" si="41"/>
        <v>107</v>
      </c>
      <c r="G121">
        <v>28.8</v>
      </c>
      <c r="H121">
        <v>12.5</v>
      </c>
      <c r="I121">
        <f t="shared" si="36"/>
        <v>13.24179744720459</v>
      </c>
    </row>
    <row r="122" spans="1:9">
      <c r="A122" s="1">
        <v>33346</v>
      </c>
      <c r="B122">
        <f t="shared" si="37"/>
        <v>1778.4777173995972</v>
      </c>
      <c r="C122">
        <f t="shared" si="38"/>
        <v>16.132488250732422</v>
      </c>
      <c r="D122" s="1">
        <f t="shared" si="39"/>
        <v>33346</v>
      </c>
      <c r="E122">
        <f t="shared" si="40"/>
        <v>1991</v>
      </c>
      <c r="F122" s="13">
        <f t="shared" si="41"/>
        <v>108</v>
      </c>
      <c r="G122">
        <v>30.8</v>
      </c>
      <c r="H122">
        <v>11.6</v>
      </c>
      <c r="I122">
        <f t="shared" si="36"/>
        <v>13.883999824523926</v>
      </c>
    </row>
    <row r="123" spans="1:9">
      <c r="A123" s="1">
        <v>33347</v>
      </c>
      <c r="B123">
        <f t="shared" si="37"/>
        <v>1791.8508558273315</v>
      </c>
      <c r="C123">
        <f t="shared" si="38"/>
        <v>16.150293350219727</v>
      </c>
      <c r="D123" s="1">
        <f t="shared" si="39"/>
        <v>33347</v>
      </c>
      <c r="E123">
        <f t="shared" si="40"/>
        <v>1991</v>
      </c>
      <c r="F123" s="13">
        <f t="shared" si="41"/>
        <v>109</v>
      </c>
      <c r="G123">
        <v>29</v>
      </c>
      <c r="H123">
        <v>12.6</v>
      </c>
      <c r="I123">
        <f t="shared" si="36"/>
        <v>13.373138427734375</v>
      </c>
    </row>
    <row r="124" spans="1:9">
      <c r="A124" s="1">
        <v>33348</v>
      </c>
      <c r="B124">
        <f t="shared" si="37"/>
        <v>1804.7919321060181</v>
      </c>
      <c r="C124">
        <f t="shared" si="38"/>
        <v>16.168184280395508</v>
      </c>
      <c r="D124" s="1">
        <f t="shared" si="39"/>
        <v>33348</v>
      </c>
      <c r="E124">
        <f t="shared" si="40"/>
        <v>1991</v>
      </c>
      <c r="F124" s="13">
        <f t="shared" si="41"/>
        <v>110</v>
      </c>
      <c r="G124">
        <v>28.1</v>
      </c>
      <c r="H124">
        <v>12.6</v>
      </c>
      <c r="I124">
        <f t="shared" si="36"/>
        <v>12.941076278686523</v>
      </c>
    </row>
    <row r="125" spans="1:9">
      <c r="A125" s="1">
        <v>33349</v>
      </c>
      <c r="B125">
        <f t="shared" si="37"/>
        <v>1818.8670635223389</v>
      </c>
      <c r="C125">
        <f t="shared" si="38"/>
        <v>16.186149597167969</v>
      </c>
      <c r="D125" s="1">
        <f t="shared" si="39"/>
        <v>33349</v>
      </c>
      <c r="E125">
        <f t="shared" si="40"/>
        <v>1991</v>
      </c>
      <c r="F125" s="13">
        <f t="shared" si="41"/>
        <v>111</v>
      </c>
      <c r="G125">
        <v>29.8</v>
      </c>
      <c r="H125">
        <v>13.5</v>
      </c>
      <c r="I125">
        <f t="shared" si="36"/>
        <v>14.075131416320801</v>
      </c>
    </row>
    <row r="126" spans="1:9">
      <c r="A126" s="1">
        <v>33350</v>
      </c>
      <c r="B126">
        <f t="shared" si="37"/>
        <v>1832.4403762817383</v>
      </c>
      <c r="C126">
        <f t="shared" si="38"/>
        <v>16.204181671142578</v>
      </c>
      <c r="D126" s="1">
        <f t="shared" si="39"/>
        <v>33350</v>
      </c>
      <c r="E126">
        <f t="shared" si="40"/>
        <v>1991</v>
      </c>
      <c r="F126" s="13">
        <f t="shared" si="41"/>
        <v>112</v>
      </c>
      <c r="G126">
        <v>30.3</v>
      </c>
      <c r="H126">
        <v>11.4</v>
      </c>
      <c r="I126">
        <f t="shared" si="36"/>
        <v>13.573312759399414</v>
      </c>
    </row>
    <row r="127" spans="1:9">
      <c r="A127" s="1">
        <v>33351</v>
      </c>
      <c r="B127">
        <f t="shared" si="37"/>
        <v>1844.9493913650513</v>
      </c>
      <c r="C127">
        <f t="shared" si="38"/>
        <v>16.222272872924805</v>
      </c>
      <c r="D127" s="1">
        <f t="shared" si="39"/>
        <v>33351</v>
      </c>
      <c r="E127">
        <f t="shared" si="40"/>
        <v>1991</v>
      </c>
      <c r="F127" s="13">
        <f t="shared" si="41"/>
        <v>113</v>
      </c>
      <c r="G127">
        <v>27.2</v>
      </c>
      <c r="H127">
        <v>12.6</v>
      </c>
      <c r="I127">
        <f t="shared" si="36"/>
        <v>12.509015083312988</v>
      </c>
    </row>
    <row r="128" spans="1:9">
      <c r="A128" s="1">
        <v>33352</v>
      </c>
      <c r="B128">
        <f t="shared" si="37"/>
        <v>1859.3034963607788</v>
      </c>
      <c r="C128">
        <f t="shared" si="38"/>
        <v>16.240411758422852</v>
      </c>
      <c r="D128" s="1">
        <f t="shared" si="39"/>
        <v>33352</v>
      </c>
      <c r="E128">
        <f t="shared" si="40"/>
        <v>1991</v>
      </c>
      <c r="F128" s="13">
        <f t="shared" si="41"/>
        <v>114</v>
      </c>
      <c r="G128">
        <v>32</v>
      </c>
      <c r="H128">
        <v>11.3</v>
      </c>
      <c r="I128">
        <f t="shared" si="36"/>
        <v>14.354104995727539</v>
      </c>
    </row>
    <row r="129" spans="1:9">
      <c r="A129" s="1">
        <v>33353</v>
      </c>
      <c r="B129">
        <f t="shared" si="37"/>
        <v>1874.0950937271118</v>
      </c>
      <c r="C129">
        <f>AVERAGE(C128,C130)</f>
        <v>16.258606910705566</v>
      </c>
      <c r="D129" s="1">
        <f t="shared" si="39"/>
        <v>33353</v>
      </c>
      <c r="E129">
        <f t="shared" si="40"/>
        <v>1991</v>
      </c>
      <c r="F129" s="13">
        <f t="shared" si="41"/>
        <v>115</v>
      </c>
      <c r="G129">
        <v>33.5</v>
      </c>
      <c r="H129">
        <v>10.5</v>
      </c>
      <c r="I129">
        <f t="shared" si="36"/>
        <v>14.791597366333008</v>
      </c>
    </row>
    <row r="130" spans="1:9">
      <c r="A130" s="1">
        <v>33354</v>
      </c>
      <c r="B130">
        <f t="shared" si="37"/>
        <v>1886.8332796096802</v>
      </c>
      <c r="C130">
        <f t="shared" si="38"/>
        <v>16.276802062988281</v>
      </c>
      <c r="D130" s="1">
        <f t="shared" si="39"/>
        <v>33354</v>
      </c>
      <c r="E130">
        <f t="shared" si="40"/>
        <v>1991</v>
      </c>
      <c r="F130" s="13">
        <f t="shared" si="41"/>
        <v>116</v>
      </c>
      <c r="G130">
        <v>26.5</v>
      </c>
      <c r="H130">
        <v>14.2</v>
      </c>
      <c r="I130">
        <f t="shared" si="36"/>
        <v>12.738185882568359</v>
      </c>
    </row>
    <row r="131" spans="1:9">
      <c r="A131" s="1">
        <v>33355</v>
      </c>
      <c r="B131">
        <f t="shared" si="37"/>
        <v>1898.9927425384521</v>
      </c>
      <c r="C131">
        <f t="shared" si="38"/>
        <v>16.295032501220703</v>
      </c>
      <c r="D131" s="1">
        <f t="shared" si="39"/>
        <v>33355</v>
      </c>
      <c r="E131">
        <f t="shared" si="40"/>
        <v>1991</v>
      </c>
      <c r="F131" s="13">
        <f t="shared" si="41"/>
        <v>117</v>
      </c>
      <c r="G131">
        <v>27.6</v>
      </c>
      <c r="H131">
        <v>11</v>
      </c>
      <c r="I131">
        <f t="shared" si="36"/>
        <v>12.159462928771973</v>
      </c>
    </row>
    <row r="132" spans="1:9">
      <c r="A132" s="1">
        <v>33356</v>
      </c>
      <c r="B132">
        <f t="shared" si="37"/>
        <v>1911.0476913452148</v>
      </c>
      <c r="C132">
        <f t="shared" si="38"/>
        <v>16.313272476196289</v>
      </c>
      <c r="D132" s="1">
        <f t="shared" si="39"/>
        <v>33356</v>
      </c>
      <c r="E132">
        <f t="shared" si="40"/>
        <v>1991</v>
      </c>
      <c r="F132" s="13">
        <f t="shared" si="41"/>
        <v>118</v>
      </c>
      <c r="G132">
        <v>28</v>
      </c>
      <c r="H132">
        <v>10.1</v>
      </c>
      <c r="I132">
        <f t="shared" si="36"/>
        <v>12.054948806762695</v>
      </c>
    </row>
    <row r="133" spans="1:9">
      <c r="A133" s="1">
        <v>33357</v>
      </c>
      <c r="B133">
        <f t="shared" si="37"/>
        <v>1922.6627082824707</v>
      </c>
      <c r="C133">
        <f t="shared" si="38"/>
        <v>16.331514358520508</v>
      </c>
      <c r="D133" s="1">
        <f t="shared" si="39"/>
        <v>33357</v>
      </c>
      <c r="E133">
        <f t="shared" si="40"/>
        <v>1991</v>
      </c>
      <c r="F133" s="13">
        <f t="shared" si="41"/>
        <v>119</v>
      </c>
      <c r="G133">
        <v>26.9</v>
      </c>
      <c r="H133">
        <v>10.3</v>
      </c>
      <c r="I133">
        <f t="shared" si="36"/>
        <v>11.615016937255859</v>
      </c>
    </row>
    <row r="134" spans="1:9">
      <c r="A134" s="1">
        <v>33358</v>
      </c>
      <c r="B134">
        <f t="shared" si="37"/>
        <v>1934.0858993530273</v>
      </c>
      <c r="C134">
        <f t="shared" si="38"/>
        <v>16.349746704101562</v>
      </c>
      <c r="D134" s="1">
        <f t="shared" si="39"/>
        <v>33358</v>
      </c>
      <c r="E134">
        <f t="shared" si="40"/>
        <v>1991</v>
      </c>
      <c r="F134" s="13">
        <f t="shared" si="41"/>
        <v>120</v>
      </c>
      <c r="G134">
        <v>26.9</v>
      </c>
      <c r="H134">
        <v>9.6999999999999993</v>
      </c>
      <c r="I134">
        <f t="shared" si="36"/>
        <v>11.423191070556641</v>
      </c>
    </row>
    <row r="135" spans="1:9">
      <c r="A135" s="1">
        <v>33359</v>
      </c>
      <c r="B135">
        <f t="shared" si="37"/>
        <v>1946.4028854370117</v>
      </c>
      <c r="C135">
        <f t="shared" si="38"/>
        <v>16.367956161499023</v>
      </c>
      <c r="D135" s="1">
        <f t="shared" si="39"/>
        <v>33359</v>
      </c>
      <c r="E135">
        <f t="shared" si="40"/>
        <v>1991</v>
      </c>
      <c r="F135" s="13">
        <f t="shared" si="41"/>
        <v>121</v>
      </c>
      <c r="G135">
        <v>26.8</v>
      </c>
      <c r="H135">
        <v>12.6</v>
      </c>
      <c r="I135">
        <f t="shared" si="36"/>
        <v>12.316986083984375</v>
      </c>
    </row>
    <row r="136" spans="1:9">
      <c r="A136" s="1">
        <v>33360</v>
      </c>
      <c r="B136">
        <f t="shared" si="37"/>
        <v>1960.4680509567261</v>
      </c>
      <c r="C136">
        <f t="shared" si="38"/>
        <v>16.386135101318359</v>
      </c>
      <c r="D136" s="1">
        <f t="shared" si="39"/>
        <v>33360</v>
      </c>
      <c r="E136">
        <f t="shared" si="40"/>
        <v>1991</v>
      </c>
      <c r="F136" s="13">
        <f t="shared" si="41"/>
        <v>122</v>
      </c>
      <c r="G136">
        <v>30</v>
      </c>
      <c r="H136">
        <v>13.2</v>
      </c>
      <c r="I136">
        <f t="shared" si="36"/>
        <v>14.065165519714355</v>
      </c>
    </row>
    <row r="137" spans="1:9">
      <c r="A137" s="1">
        <v>33361</v>
      </c>
      <c r="B137">
        <f t="shared" si="37"/>
        <v>1973.1409215927124</v>
      </c>
      <c r="C137">
        <f t="shared" si="38"/>
        <v>16.404272079467773</v>
      </c>
      <c r="D137" s="1">
        <f t="shared" si="39"/>
        <v>33361</v>
      </c>
      <c r="E137">
        <f t="shared" si="40"/>
        <v>1991</v>
      </c>
      <c r="F137" s="13">
        <f t="shared" si="41"/>
        <v>123</v>
      </c>
      <c r="G137">
        <v>29</v>
      </c>
      <c r="H137">
        <v>10.6</v>
      </c>
      <c r="I137">
        <f t="shared" si="36"/>
        <v>12.672870635986328</v>
      </c>
    </row>
    <row r="138" spans="1:9">
      <c r="A138" s="1">
        <v>33362</v>
      </c>
      <c r="B138">
        <f t="shared" si="37"/>
        <v>1984.9735660552979</v>
      </c>
      <c r="C138">
        <f t="shared" si="38"/>
        <v>16.422353744506836</v>
      </c>
      <c r="D138" s="1">
        <f t="shared" si="39"/>
        <v>33362</v>
      </c>
      <c r="E138">
        <f t="shared" si="40"/>
        <v>1991</v>
      </c>
      <c r="F138" s="13">
        <f t="shared" si="41"/>
        <v>124</v>
      </c>
      <c r="G138">
        <v>25.7</v>
      </c>
      <c r="H138">
        <v>12.7</v>
      </c>
      <c r="I138">
        <f t="shared" si="36"/>
        <v>11.832644462585449</v>
      </c>
    </row>
    <row r="139" spans="1:9">
      <c r="A139" s="1">
        <v>33363</v>
      </c>
      <c r="B139">
        <f t="shared" si="37"/>
        <v>1996.01646900177</v>
      </c>
      <c r="C139">
        <f t="shared" si="38"/>
        <v>16.44036865234375</v>
      </c>
      <c r="D139" s="1">
        <f t="shared" si="39"/>
        <v>33363</v>
      </c>
      <c r="E139">
        <f t="shared" si="40"/>
        <v>1991</v>
      </c>
      <c r="F139" s="13">
        <f t="shared" si="41"/>
        <v>125</v>
      </c>
      <c r="G139">
        <v>26</v>
      </c>
      <c r="H139">
        <v>9.8000000000000007</v>
      </c>
      <c r="I139">
        <f t="shared" si="36"/>
        <v>11.042902946472168</v>
      </c>
    </row>
    <row r="140" spans="1:9">
      <c r="A140" s="1">
        <v>33364</v>
      </c>
      <c r="B140">
        <f t="shared" si="37"/>
        <v>2007.014500617981</v>
      </c>
      <c r="C140">
        <f t="shared" si="38"/>
        <v>16.458305358886719</v>
      </c>
      <c r="D140" s="1">
        <f t="shared" si="39"/>
        <v>33364</v>
      </c>
      <c r="E140">
        <f t="shared" si="40"/>
        <v>1991</v>
      </c>
      <c r="F140" s="13">
        <f t="shared" si="41"/>
        <v>126</v>
      </c>
      <c r="G140">
        <v>26.6</v>
      </c>
      <c r="H140">
        <v>8.8000000000000007</v>
      </c>
      <c r="I140">
        <f t="shared" si="36"/>
        <v>10.998031616210938</v>
      </c>
    </row>
    <row r="141" spans="1:9">
      <c r="A141" s="1">
        <v>33365</v>
      </c>
      <c r="B141">
        <f t="shared" si="37"/>
        <v>2018.1905221939087</v>
      </c>
      <c r="C141">
        <f t="shared" si="38"/>
        <v>16.476154327392578</v>
      </c>
      <c r="D141" s="1">
        <f t="shared" si="39"/>
        <v>33365</v>
      </c>
      <c r="E141">
        <f t="shared" si="40"/>
        <v>1991</v>
      </c>
      <c r="F141" s="13">
        <f t="shared" si="41"/>
        <v>127</v>
      </c>
      <c r="G141">
        <v>26.5</v>
      </c>
      <c r="H141">
        <v>9.5</v>
      </c>
      <c r="I141">
        <f t="shared" si="36"/>
        <v>11.176021575927734</v>
      </c>
    </row>
    <row r="142" spans="1:9">
      <c r="A142" s="1">
        <v>33366</v>
      </c>
      <c r="B142">
        <f t="shared" si="37"/>
        <v>2029.4357223510742</v>
      </c>
      <c r="C142">
        <f t="shared" si="38"/>
        <v>16.493900299072266</v>
      </c>
      <c r="D142" s="1">
        <f t="shared" si="39"/>
        <v>33366</v>
      </c>
      <c r="E142">
        <f t="shared" si="40"/>
        <v>1991</v>
      </c>
      <c r="F142" s="13">
        <f t="shared" si="41"/>
        <v>128</v>
      </c>
      <c r="G142">
        <v>27</v>
      </c>
      <c r="H142">
        <v>9</v>
      </c>
      <c r="I142">
        <f t="shared" si="36"/>
        <v>11.245200157165527</v>
      </c>
    </row>
    <row r="143" spans="1:9">
      <c r="A143" s="1">
        <v>33367</v>
      </c>
      <c r="B143">
        <f t="shared" si="37"/>
        <v>2042.4347705841064</v>
      </c>
      <c r="C143">
        <f t="shared" si="38"/>
        <v>16.511529922485352</v>
      </c>
      <c r="D143" s="1">
        <f t="shared" si="39"/>
        <v>33367</v>
      </c>
      <c r="E143">
        <f t="shared" si="40"/>
        <v>1991</v>
      </c>
      <c r="F143" s="13">
        <f t="shared" si="41"/>
        <v>129</v>
      </c>
      <c r="G143">
        <v>28</v>
      </c>
      <c r="H143">
        <v>12.9</v>
      </c>
      <c r="I143">
        <f t="shared" ref="I143:I206" si="42">tt(G143,H143,$C$6:$F$6,$C$7:$F$7)</f>
        <v>12.999048233032227</v>
      </c>
    </row>
    <row r="144" spans="1:9">
      <c r="A144" s="1">
        <v>33368</v>
      </c>
      <c r="B144">
        <f t="shared" ref="B144:B207" si="43">B143+I144</f>
        <v>2055.6802082061768</v>
      </c>
      <c r="C144">
        <f t="shared" ref="C144:C207" si="44">day_length(F144,$I$7,$C$13)</f>
        <v>16.529033660888672</v>
      </c>
      <c r="D144" s="1">
        <f t="shared" ref="D144:D207" si="45">A144</f>
        <v>33368</v>
      </c>
      <c r="E144">
        <f t="shared" ref="E144:E207" si="46">YEAR(A144)</f>
        <v>1991</v>
      </c>
      <c r="F144" s="13">
        <f t="shared" ref="F144:F207" si="47">A144-DATE(E144,1,1)+1</f>
        <v>130</v>
      </c>
      <c r="G144">
        <v>26.6</v>
      </c>
      <c r="H144">
        <v>15.5</v>
      </c>
      <c r="I144">
        <f t="shared" si="42"/>
        <v>13.245437622070313</v>
      </c>
    </row>
    <row r="145" spans="1:9">
      <c r="A145" s="1">
        <v>33369</v>
      </c>
      <c r="B145">
        <f t="shared" si="43"/>
        <v>2065.0487155914307</v>
      </c>
      <c r="C145">
        <f t="shared" si="44"/>
        <v>16.546398162841797</v>
      </c>
      <c r="D145" s="1">
        <f t="shared" si="45"/>
        <v>33369</v>
      </c>
      <c r="E145">
        <f t="shared" si="46"/>
        <v>1991</v>
      </c>
      <c r="F145" s="13">
        <f t="shared" si="47"/>
        <v>131</v>
      </c>
      <c r="G145">
        <v>23.5</v>
      </c>
      <c r="H145">
        <v>8</v>
      </c>
      <c r="I145">
        <f t="shared" si="42"/>
        <v>9.3685073852539062</v>
      </c>
    </row>
    <row r="146" spans="1:9">
      <c r="A146" s="1">
        <v>33370</v>
      </c>
      <c r="B146">
        <f t="shared" si="43"/>
        <v>2074.6426467895508</v>
      </c>
      <c r="C146">
        <f t="shared" si="44"/>
        <v>16.563608169555664</v>
      </c>
      <c r="D146" s="1">
        <f t="shared" si="45"/>
        <v>33370</v>
      </c>
      <c r="E146">
        <f t="shared" si="46"/>
        <v>1991</v>
      </c>
      <c r="F146" s="13">
        <f t="shared" si="47"/>
        <v>132</v>
      </c>
      <c r="G146">
        <v>24.1</v>
      </c>
      <c r="H146">
        <v>7.9</v>
      </c>
      <c r="I146">
        <f t="shared" si="42"/>
        <v>9.5939311981201172</v>
      </c>
    </row>
    <row r="147" spans="1:9">
      <c r="A147" s="1">
        <v>33371</v>
      </c>
      <c r="B147">
        <f t="shared" si="43"/>
        <v>2083.9692649841309</v>
      </c>
      <c r="C147">
        <f t="shared" si="44"/>
        <v>16.580652236938477</v>
      </c>
      <c r="D147" s="1">
        <f t="shared" si="45"/>
        <v>33371</v>
      </c>
      <c r="E147">
        <f t="shared" si="46"/>
        <v>1991</v>
      </c>
      <c r="F147" s="13">
        <f t="shared" si="47"/>
        <v>133</v>
      </c>
      <c r="G147">
        <v>24.1</v>
      </c>
      <c r="H147">
        <v>7</v>
      </c>
      <c r="I147">
        <f t="shared" si="42"/>
        <v>9.3266181945800781</v>
      </c>
    </row>
    <row r="148" spans="1:9">
      <c r="A148" s="1">
        <v>33372</v>
      </c>
      <c r="B148">
        <f t="shared" si="43"/>
        <v>2093.7839260101318</v>
      </c>
      <c r="C148">
        <f t="shared" si="44"/>
        <v>16.597518920898437</v>
      </c>
      <c r="D148" s="1">
        <f t="shared" si="45"/>
        <v>33372</v>
      </c>
      <c r="E148">
        <f t="shared" si="46"/>
        <v>1991</v>
      </c>
      <c r="F148" s="13">
        <f t="shared" si="47"/>
        <v>134</v>
      </c>
      <c r="G148">
        <v>24.2</v>
      </c>
      <c r="H148">
        <v>8.5</v>
      </c>
      <c r="I148">
        <f t="shared" si="42"/>
        <v>9.8146610260009766</v>
      </c>
    </row>
    <row r="149" spans="1:9">
      <c r="A149" s="1">
        <v>33373</v>
      </c>
      <c r="B149">
        <f t="shared" si="43"/>
        <v>2103.7620792388916</v>
      </c>
      <c r="C149">
        <f t="shared" si="44"/>
        <v>16.614189147949219</v>
      </c>
      <c r="D149" s="1">
        <f t="shared" si="45"/>
        <v>33373</v>
      </c>
      <c r="E149">
        <f t="shared" si="46"/>
        <v>1991</v>
      </c>
      <c r="F149" s="13">
        <f t="shared" si="47"/>
        <v>135</v>
      </c>
      <c r="G149">
        <v>22</v>
      </c>
      <c r="H149">
        <v>12.2</v>
      </c>
      <c r="I149">
        <f t="shared" si="42"/>
        <v>9.9781532287597656</v>
      </c>
    </row>
    <row r="150" spans="1:9">
      <c r="A150" s="1">
        <v>33374</v>
      </c>
      <c r="B150">
        <f t="shared" si="43"/>
        <v>2113.7308435440063</v>
      </c>
      <c r="C150">
        <f t="shared" si="44"/>
        <v>16.630657196044922</v>
      </c>
      <c r="D150" s="1">
        <f t="shared" si="45"/>
        <v>33374</v>
      </c>
      <c r="E150">
        <f t="shared" si="46"/>
        <v>1991</v>
      </c>
      <c r="F150" s="13">
        <f t="shared" si="47"/>
        <v>136</v>
      </c>
      <c r="G150">
        <v>21</v>
      </c>
      <c r="H150">
        <v>13.6</v>
      </c>
      <c r="I150">
        <f t="shared" si="42"/>
        <v>9.9687643051147461</v>
      </c>
    </row>
    <row r="151" spans="1:9">
      <c r="A151" s="1">
        <v>33375</v>
      </c>
      <c r="B151">
        <f t="shared" si="43"/>
        <v>2124.4702997207642</v>
      </c>
      <c r="C151">
        <f t="shared" si="44"/>
        <v>16.646905899047852</v>
      </c>
      <c r="D151" s="1">
        <f t="shared" si="45"/>
        <v>33375</v>
      </c>
      <c r="E151">
        <f t="shared" si="46"/>
        <v>1991</v>
      </c>
      <c r="F151" s="13">
        <f t="shared" si="47"/>
        <v>137</v>
      </c>
      <c r="G151">
        <v>24.5</v>
      </c>
      <c r="H151">
        <v>11</v>
      </c>
      <c r="I151">
        <f t="shared" si="42"/>
        <v>10.739456176757813</v>
      </c>
    </row>
    <row r="152" spans="1:9">
      <c r="A152" s="1">
        <v>33376</v>
      </c>
      <c r="B152">
        <f t="shared" si="43"/>
        <v>2134.3890495300293</v>
      </c>
      <c r="C152">
        <f t="shared" si="44"/>
        <v>16.662919998168945</v>
      </c>
      <c r="D152" s="1">
        <f t="shared" si="45"/>
        <v>33376</v>
      </c>
      <c r="E152">
        <f t="shared" si="46"/>
        <v>1991</v>
      </c>
      <c r="F152" s="13">
        <f t="shared" si="47"/>
        <v>138</v>
      </c>
      <c r="G152">
        <v>22</v>
      </c>
      <c r="H152">
        <v>12</v>
      </c>
      <c r="I152">
        <f t="shared" si="42"/>
        <v>9.9187498092651367</v>
      </c>
    </row>
    <row r="153" spans="1:9">
      <c r="A153" s="1">
        <v>33377</v>
      </c>
      <c r="B153">
        <f t="shared" si="43"/>
        <v>2146.6589517593384</v>
      </c>
      <c r="C153">
        <f t="shared" si="44"/>
        <v>16.678688049316406</v>
      </c>
      <c r="D153" s="1">
        <f t="shared" si="45"/>
        <v>33377</v>
      </c>
      <c r="E153">
        <f t="shared" si="46"/>
        <v>1991</v>
      </c>
      <c r="F153" s="13">
        <f t="shared" si="47"/>
        <v>139</v>
      </c>
      <c r="G153">
        <v>24.2</v>
      </c>
      <c r="H153">
        <v>16</v>
      </c>
      <c r="I153">
        <f t="shared" si="42"/>
        <v>12.269902229309082</v>
      </c>
    </row>
    <row r="154" spans="1:9">
      <c r="A154" s="1">
        <v>33378</v>
      </c>
      <c r="B154">
        <f t="shared" si="43"/>
        <v>2158.2033185958862</v>
      </c>
      <c r="C154">
        <f t="shared" si="44"/>
        <v>16.694196701049805</v>
      </c>
      <c r="D154" s="1">
        <f t="shared" si="45"/>
        <v>33378</v>
      </c>
      <c r="E154">
        <f t="shared" si="46"/>
        <v>1991</v>
      </c>
      <c r="F154" s="13">
        <f t="shared" si="47"/>
        <v>140</v>
      </c>
      <c r="G154">
        <v>22.1</v>
      </c>
      <c r="H154">
        <v>16.8</v>
      </c>
      <c r="I154">
        <f t="shared" si="42"/>
        <v>11.544366836547852</v>
      </c>
    </row>
    <row r="155" spans="1:9">
      <c r="A155" s="1">
        <v>33379</v>
      </c>
      <c r="B155">
        <f t="shared" si="43"/>
        <v>2169.311089515686</v>
      </c>
      <c r="C155">
        <f t="shared" si="44"/>
        <v>16.709432601928711</v>
      </c>
      <c r="D155" s="1">
        <f t="shared" si="45"/>
        <v>33379</v>
      </c>
      <c r="E155">
        <f t="shared" si="46"/>
        <v>1991</v>
      </c>
      <c r="F155" s="13">
        <f t="shared" si="47"/>
        <v>141</v>
      </c>
      <c r="G155">
        <v>22</v>
      </c>
      <c r="H155">
        <v>15.7</v>
      </c>
      <c r="I155">
        <f t="shared" si="42"/>
        <v>11.107770919799805</v>
      </c>
    </row>
    <row r="156" spans="1:9">
      <c r="A156" s="1">
        <v>33380</v>
      </c>
      <c r="B156">
        <f t="shared" si="43"/>
        <v>2180.2268333435059</v>
      </c>
      <c r="C156">
        <f t="shared" si="44"/>
        <v>16.724380493164062</v>
      </c>
      <c r="D156" s="1">
        <f t="shared" si="45"/>
        <v>33380</v>
      </c>
      <c r="E156">
        <f t="shared" si="46"/>
        <v>1991</v>
      </c>
      <c r="F156" s="13">
        <f t="shared" si="47"/>
        <v>142</v>
      </c>
      <c r="G156">
        <v>21.6</v>
      </c>
      <c r="H156">
        <v>15.7</v>
      </c>
      <c r="I156">
        <f t="shared" si="42"/>
        <v>10.915743827819824</v>
      </c>
    </row>
    <row r="157" spans="1:9">
      <c r="A157" s="1">
        <v>33381</v>
      </c>
      <c r="B157">
        <f t="shared" si="43"/>
        <v>2191.5927505493164</v>
      </c>
      <c r="C157">
        <f t="shared" si="44"/>
        <v>16.739030838012695</v>
      </c>
      <c r="D157" s="1">
        <f t="shared" si="45"/>
        <v>33381</v>
      </c>
      <c r="E157">
        <f t="shared" si="46"/>
        <v>1991</v>
      </c>
      <c r="F157" s="13">
        <f t="shared" si="47"/>
        <v>143</v>
      </c>
      <c r="G157">
        <v>23.2</v>
      </c>
      <c r="H157">
        <v>14.8</v>
      </c>
      <c r="I157">
        <f t="shared" si="42"/>
        <v>11.365917205810547</v>
      </c>
    </row>
    <row r="158" spans="1:9">
      <c r="A158" s="1">
        <v>33382</v>
      </c>
      <c r="B158">
        <f t="shared" si="43"/>
        <v>2203.201416015625</v>
      </c>
      <c r="C158">
        <f t="shared" si="44"/>
        <v>16.753364562988281</v>
      </c>
      <c r="D158" s="1">
        <f t="shared" si="45"/>
        <v>33382</v>
      </c>
      <c r="E158">
        <f t="shared" si="46"/>
        <v>1991</v>
      </c>
      <c r="F158" s="13">
        <f t="shared" si="47"/>
        <v>144</v>
      </c>
      <c r="G158">
        <v>24</v>
      </c>
      <c r="H158">
        <v>14.4</v>
      </c>
      <c r="I158">
        <f t="shared" si="42"/>
        <v>11.608665466308594</v>
      </c>
    </row>
    <row r="159" spans="1:9">
      <c r="A159" s="1">
        <v>33383</v>
      </c>
      <c r="B159">
        <f t="shared" si="43"/>
        <v>2216.4776458740234</v>
      </c>
      <c r="C159">
        <f t="shared" si="44"/>
        <v>16.767372131347656</v>
      </c>
      <c r="D159" s="1">
        <f t="shared" si="45"/>
        <v>33383</v>
      </c>
      <c r="E159">
        <f t="shared" si="46"/>
        <v>1991</v>
      </c>
      <c r="F159" s="13">
        <f t="shared" si="47"/>
        <v>145</v>
      </c>
      <c r="G159">
        <v>27.4</v>
      </c>
      <c r="H159">
        <v>14.5</v>
      </c>
      <c r="I159">
        <f t="shared" si="42"/>
        <v>13.276229858398438</v>
      </c>
    </row>
    <row r="160" spans="1:9">
      <c r="A160" s="1">
        <v>33384</v>
      </c>
      <c r="B160">
        <f t="shared" si="43"/>
        <v>2228.1566066741943</v>
      </c>
      <c r="C160">
        <f t="shared" si="44"/>
        <v>16.781038284301758</v>
      </c>
      <c r="D160" s="1">
        <f t="shared" si="45"/>
        <v>33384</v>
      </c>
      <c r="E160">
        <f t="shared" si="46"/>
        <v>1991</v>
      </c>
      <c r="F160" s="13">
        <f t="shared" si="47"/>
        <v>146</v>
      </c>
      <c r="G160">
        <v>26.9</v>
      </c>
      <c r="H160">
        <v>10.5</v>
      </c>
      <c r="I160">
        <f t="shared" si="42"/>
        <v>11.678960800170898</v>
      </c>
    </row>
    <row r="161" spans="1:9">
      <c r="A161" s="1">
        <v>33385</v>
      </c>
      <c r="B161">
        <f t="shared" si="43"/>
        <v>2240.4409818649292</v>
      </c>
      <c r="C161">
        <f t="shared" si="44"/>
        <v>16.794353485107422</v>
      </c>
      <c r="D161" s="1">
        <f t="shared" si="45"/>
        <v>33385</v>
      </c>
      <c r="E161">
        <f t="shared" si="46"/>
        <v>1991</v>
      </c>
      <c r="F161" s="13">
        <f t="shared" si="47"/>
        <v>147</v>
      </c>
      <c r="G161">
        <v>27.1</v>
      </c>
      <c r="H161">
        <v>12.1</v>
      </c>
      <c r="I161">
        <f t="shared" si="42"/>
        <v>12.284375190734863</v>
      </c>
    </row>
    <row r="162" spans="1:9">
      <c r="A162" s="1">
        <v>33386</v>
      </c>
      <c r="B162">
        <f t="shared" si="43"/>
        <v>2252.7271766662598</v>
      </c>
      <c r="C162">
        <f t="shared" si="44"/>
        <v>16.807300567626953</v>
      </c>
      <c r="D162" s="1">
        <f t="shared" si="45"/>
        <v>33386</v>
      </c>
      <c r="E162">
        <f t="shared" si="46"/>
        <v>1991</v>
      </c>
      <c r="F162" s="13">
        <f t="shared" si="47"/>
        <v>148</v>
      </c>
      <c r="G162">
        <v>26</v>
      </c>
      <c r="H162">
        <v>13.6</v>
      </c>
      <c r="I162">
        <f t="shared" si="42"/>
        <v>12.286194801330566</v>
      </c>
    </row>
    <row r="163" spans="1:9">
      <c r="A163" s="1">
        <v>33387</v>
      </c>
      <c r="B163">
        <f t="shared" si="43"/>
        <v>2264.094913482666</v>
      </c>
      <c r="C163">
        <f t="shared" si="44"/>
        <v>16.819869995117188</v>
      </c>
      <c r="D163" s="1">
        <f t="shared" si="45"/>
        <v>33387</v>
      </c>
      <c r="E163">
        <f t="shared" si="46"/>
        <v>1991</v>
      </c>
      <c r="F163" s="13">
        <f t="shared" si="47"/>
        <v>149</v>
      </c>
      <c r="G163">
        <v>22.1</v>
      </c>
      <c r="H163">
        <v>16.3</v>
      </c>
      <c r="I163">
        <f t="shared" si="42"/>
        <v>11.36773681640625</v>
      </c>
    </row>
    <row r="164" spans="1:9">
      <c r="A164" s="1">
        <v>33388</v>
      </c>
      <c r="B164">
        <f t="shared" si="43"/>
        <v>2274.9846906661987</v>
      </c>
      <c r="C164">
        <f t="shared" si="44"/>
        <v>16.832050323486328</v>
      </c>
      <c r="D164" s="1">
        <f t="shared" si="45"/>
        <v>33388</v>
      </c>
      <c r="E164">
        <f t="shared" si="46"/>
        <v>1991</v>
      </c>
      <c r="F164" s="13">
        <f t="shared" si="47"/>
        <v>150</v>
      </c>
      <c r="G164">
        <v>24.2</v>
      </c>
      <c r="H164">
        <v>11.9</v>
      </c>
      <c r="I164">
        <f t="shared" si="42"/>
        <v>10.889777183532715</v>
      </c>
    </row>
    <row r="165" spans="1:9">
      <c r="A165" s="1">
        <v>33389</v>
      </c>
      <c r="B165">
        <f t="shared" si="43"/>
        <v>2285.0613536834717</v>
      </c>
      <c r="C165">
        <f t="shared" si="44"/>
        <v>16.843826293945313</v>
      </c>
      <c r="D165" s="1">
        <f t="shared" si="45"/>
        <v>33389</v>
      </c>
      <c r="E165">
        <f t="shared" si="46"/>
        <v>1991</v>
      </c>
      <c r="F165" s="13">
        <f t="shared" si="47"/>
        <v>151</v>
      </c>
      <c r="G165">
        <v>24.1</v>
      </c>
      <c r="H165">
        <v>9.5</v>
      </c>
      <c r="I165">
        <f t="shared" si="42"/>
        <v>10.076663017272949</v>
      </c>
    </row>
    <row r="166" spans="1:9">
      <c r="A166" s="1">
        <v>33390</v>
      </c>
      <c r="B166">
        <f t="shared" si="43"/>
        <v>2295.9640293121338</v>
      </c>
      <c r="C166">
        <f t="shared" si="44"/>
        <v>16.855184555053711</v>
      </c>
      <c r="D166" s="1">
        <f t="shared" si="45"/>
        <v>33390</v>
      </c>
      <c r="E166">
        <f t="shared" si="46"/>
        <v>1991</v>
      </c>
      <c r="F166" s="13">
        <f t="shared" si="47"/>
        <v>152</v>
      </c>
      <c r="G166">
        <v>23.6</v>
      </c>
      <c r="H166">
        <v>12.8</v>
      </c>
      <c r="I166">
        <f t="shared" si="42"/>
        <v>10.902675628662109</v>
      </c>
    </row>
    <row r="167" spans="1:9">
      <c r="A167" s="1">
        <v>33391</v>
      </c>
      <c r="B167">
        <f t="shared" si="43"/>
        <v>2305.782751083374</v>
      </c>
      <c r="C167">
        <f t="shared" si="44"/>
        <v>16.866117477416992</v>
      </c>
      <c r="D167" s="1">
        <f t="shared" si="45"/>
        <v>33391</v>
      </c>
      <c r="E167">
        <f t="shared" si="46"/>
        <v>1991</v>
      </c>
      <c r="F167" s="13">
        <f t="shared" si="47"/>
        <v>153</v>
      </c>
      <c r="G167">
        <v>24</v>
      </c>
      <c r="H167">
        <v>8.8000000000000007</v>
      </c>
      <c r="I167">
        <f t="shared" si="42"/>
        <v>9.8187217712402344</v>
      </c>
    </row>
    <row r="168" spans="1:9">
      <c r="A168" s="1">
        <v>33392</v>
      </c>
      <c r="B168">
        <f t="shared" si="43"/>
        <v>2315.5373764038086</v>
      </c>
      <c r="C168">
        <f t="shared" si="44"/>
        <v>16.876609802246094</v>
      </c>
      <c r="D168" s="1">
        <f t="shared" si="45"/>
        <v>33392</v>
      </c>
      <c r="E168">
        <f t="shared" si="46"/>
        <v>1991</v>
      </c>
      <c r="F168" s="13">
        <f t="shared" si="47"/>
        <v>154</v>
      </c>
      <c r="G168">
        <v>23.5</v>
      </c>
      <c r="H168">
        <v>9.3000000000000007</v>
      </c>
      <c r="I168">
        <f t="shared" si="42"/>
        <v>9.7546253204345703</v>
      </c>
    </row>
    <row r="169" spans="1:9">
      <c r="A169" s="1">
        <v>33393</v>
      </c>
      <c r="B169">
        <f t="shared" si="43"/>
        <v>2324.8073902130127</v>
      </c>
      <c r="C169">
        <f t="shared" si="44"/>
        <v>16.886655807495117</v>
      </c>
      <c r="D169" s="1">
        <f t="shared" si="45"/>
        <v>33393</v>
      </c>
      <c r="E169">
        <f t="shared" si="46"/>
        <v>1991</v>
      </c>
      <c r="F169" s="13">
        <f t="shared" si="47"/>
        <v>155</v>
      </c>
      <c r="G169">
        <v>22.5</v>
      </c>
      <c r="H169">
        <v>9.1</v>
      </c>
      <c r="I169">
        <f t="shared" si="42"/>
        <v>9.2700138092041016</v>
      </c>
    </row>
    <row r="170" spans="1:9">
      <c r="A170" s="1">
        <v>33394</v>
      </c>
      <c r="B170">
        <f t="shared" si="43"/>
        <v>2335.1904859542847</v>
      </c>
      <c r="C170">
        <f t="shared" si="44"/>
        <v>16.896242141723633</v>
      </c>
      <c r="D170" s="1">
        <f t="shared" si="45"/>
        <v>33394</v>
      </c>
      <c r="E170">
        <f t="shared" si="46"/>
        <v>1991</v>
      </c>
      <c r="F170" s="13">
        <f t="shared" si="47"/>
        <v>156</v>
      </c>
      <c r="G170">
        <v>21</v>
      </c>
      <c r="H170">
        <v>14.9</v>
      </c>
      <c r="I170">
        <f t="shared" si="42"/>
        <v>10.383095741271973</v>
      </c>
    </row>
    <row r="171" spans="1:9">
      <c r="A171" s="1">
        <v>33395</v>
      </c>
      <c r="B171">
        <f t="shared" si="43"/>
        <v>2347.279221534729</v>
      </c>
      <c r="C171">
        <f t="shared" si="44"/>
        <v>16.905355453491211</v>
      </c>
      <c r="D171" s="1">
        <f t="shared" si="45"/>
        <v>33395</v>
      </c>
      <c r="E171">
        <f t="shared" si="46"/>
        <v>1991</v>
      </c>
      <c r="F171" s="13">
        <f t="shared" si="47"/>
        <v>157</v>
      </c>
      <c r="G171">
        <v>25</v>
      </c>
      <c r="H171">
        <v>14.4</v>
      </c>
      <c r="I171">
        <f t="shared" si="42"/>
        <v>12.088735580444336</v>
      </c>
    </row>
    <row r="172" spans="1:9">
      <c r="A172" s="1">
        <v>33396</v>
      </c>
      <c r="B172">
        <f t="shared" si="43"/>
        <v>2358.9576454162598</v>
      </c>
      <c r="C172">
        <f t="shared" si="44"/>
        <v>16.913990020751953</v>
      </c>
      <c r="D172" s="1">
        <f t="shared" si="45"/>
        <v>33396</v>
      </c>
      <c r="E172">
        <f t="shared" si="46"/>
        <v>1991</v>
      </c>
      <c r="F172" s="13">
        <f t="shared" si="47"/>
        <v>158</v>
      </c>
      <c r="G172">
        <v>22.6</v>
      </c>
      <c r="H172">
        <v>16.5</v>
      </c>
      <c r="I172">
        <f t="shared" si="42"/>
        <v>11.678423881530762</v>
      </c>
    </row>
    <row r="173" spans="1:9">
      <c r="A173" s="1">
        <v>33397</v>
      </c>
      <c r="B173">
        <f t="shared" si="43"/>
        <v>2369.4981679916382</v>
      </c>
      <c r="C173">
        <f t="shared" si="44"/>
        <v>16.922134399414063</v>
      </c>
      <c r="D173" s="1">
        <f t="shared" si="45"/>
        <v>33397</v>
      </c>
      <c r="E173">
        <f t="shared" si="46"/>
        <v>1991</v>
      </c>
      <c r="F173" s="13">
        <f t="shared" si="47"/>
        <v>159</v>
      </c>
      <c r="G173">
        <v>22.6</v>
      </c>
      <c r="H173">
        <v>13.1</v>
      </c>
      <c r="I173">
        <f t="shared" si="42"/>
        <v>10.540522575378418</v>
      </c>
    </row>
    <row r="174" spans="1:9">
      <c r="A174" s="1">
        <v>33398</v>
      </c>
      <c r="B174">
        <f t="shared" si="43"/>
        <v>2379.2887239456177</v>
      </c>
      <c r="C174">
        <f t="shared" si="44"/>
        <v>16.929782867431641</v>
      </c>
      <c r="D174" s="1">
        <f t="shared" si="45"/>
        <v>33398</v>
      </c>
      <c r="E174">
        <f t="shared" si="46"/>
        <v>1991</v>
      </c>
      <c r="F174" s="13">
        <f t="shared" si="47"/>
        <v>160</v>
      </c>
      <c r="G174">
        <v>21</v>
      </c>
      <c r="H174">
        <v>13</v>
      </c>
      <c r="I174">
        <f t="shared" si="42"/>
        <v>9.7905559539794922</v>
      </c>
    </row>
    <row r="175" spans="1:9">
      <c r="A175" s="1">
        <v>33399</v>
      </c>
      <c r="B175">
        <f t="shared" si="43"/>
        <v>2388.9267101287842</v>
      </c>
      <c r="C175">
        <f t="shared" si="44"/>
        <v>16.936920166015625</v>
      </c>
      <c r="D175" s="1">
        <f t="shared" si="45"/>
        <v>33399</v>
      </c>
      <c r="E175">
        <f t="shared" si="46"/>
        <v>1991</v>
      </c>
      <c r="F175" s="13">
        <f t="shared" si="47"/>
        <v>161</v>
      </c>
      <c r="G175">
        <v>21.2</v>
      </c>
      <c r="H175">
        <v>12.2</v>
      </c>
      <c r="I175">
        <f t="shared" si="42"/>
        <v>9.6379861831665039</v>
      </c>
    </row>
    <row r="176" spans="1:9">
      <c r="A176" s="1">
        <v>33400</v>
      </c>
      <c r="B176">
        <f t="shared" si="43"/>
        <v>2399.0897483825684</v>
      </c>
      <c r="C176">
        <f t="shared" si="44"/>
        <v>16.943546295166016</v>
      </c>
      <c r="D176" s="1">
        <f t="shared" si="45"/>
        <v>33400</v>
      </c>
      <c r="E176">
        <f t="shared" si="46"/>
        <v>1991</v>
      </c>
      <c r="F176" s="13">
        <f t="shared" si="47"/>
        <v>162</v>
      </c>
      <c r="G176">
        <v>23.8</v>
      </c>
      <c r="H176">
        <v>10.199999999999999</v>
      </c>
      <c r="I176">
        <f t="shared" si="42"/>
        <v>10.16303825378418</v>
      </c>
    </row>
    <row r="177" spans="1:9">
      <c r="A177" s="1">
        <v>33401</v>
      </c>
      <c r="B177">
        <f t="shared" si="43"/>
        <v>2407.8764152526855</v>
      </c>
      <c r="C177">
        <f t="shared" si="44"/>
        <v>16.949647903442383</v>
      </c>
      <c r="D177" s="1">
        <f t="shared" si="45"/>
        <v>33401</v>
      </c>
      <c r="E177">
        <f t="shared" si="46"/>
        <v>1991</v>
      </c>
      <c r="F177" s="13">
        <f t="shared" si="47"/>
        <v>163</v>
      </c>
      <c r="G177">
        <v>22.9</v>
      </c>
      <c r="H177">
        <v>6.9</v>
      </c>
      <c r="I177">
        <f t="shared" si="42"/>
        <v>8.7866668701171875</v>
      </c>
    </row>
    <row r="178" spans="1:9">
      <c r="A178" s="1">
        <v>33402</v>
      </c>
      <c r="B178">
        <f t="shared" si="43"/>
        <v>2415.0574474334717</v>
      </c>
      <c r="C178">
        <f t="shared" si="44"/>
        <v>16.955221176147461</v>
      </c>
      <c r="D178" s="1">
        <f t="shared" si="45"/>
        <v>33402</v>
      </c>
      <c r="E178">
        <f t="shared" si="46"/>
        <v>1991</v>
      </c>
      <c r="F178" s="13">
        <f t="shared" si="47"/>
        <v>164</v>
      </c>
      <c r="G178">
        <v>18.600000000000001</v>
      </c>
      <c r="H178">
        <v>7.2</v>
      </c>
      <c r="I178">
        <f t="shared" si="42"/>
        <v>7.1810321807861328</v>
      </c>
    </row>
    <row r="179" spans="1:9">
      <c r="A179" s="1">
        <v>33403</v>
      </c>
      <c r="B179">
        <f t="shared" si="43"/>
        <v>2423.5749044418335</v>
      </c>
      <c r="C179">
        <f t="shared" si="44"/>
        <v>16.960260391235352</v>
      </c>
      <c r="D179" s="1">
        <f t="shared" si="45"/>
        <v>33403</v>
      </c>
      <c r="E179">
        <f t="shared" si="46"/>
        <v>1991</v>
      </c>
      <c r="F179" s="13">
        <f t="shared" si="47"/>
        <v>165</v>
      </c>
      <c r="G179">
        <v>20.8</v>
      </c>
      <c r="H179">
        <v>9</v>
      </c>
      <c r="I179">
        <f t="shared" si="42"/>
        <v>8.5174570083618164</v>
      </c>
    </row>
    <row r="180" spans="1:9">
      <c r="A180" s="1">
        <v>33404</v>
      </c>
      <c r="B180">
        <f t="shared" si="43"/>
        <v>2432.7233142852783</v>
      </c>
      <c r="C180">
        <f t="shared" si="44"/>
        <v>16.964757919311523</v>
      </c>
      <c r="D180" s="1">
        <f t="shared" si="45"/>
        <v>33404</v>
      </c>
      <c r="E180">
        <f t="shared" si="46"/>
        <v>1991</v>
      </c>
      <c r="F180" s="13">
        <f t="shared" si="47"/>
        <v>166</v>
      </c>
      <c r="G180">
        <v>24.1</v>
      </c>
      <c r="H180">
        <v>6.4</v>
      </c>
      <c r="I180">
        <f t="shared" si="42"/>
        <v>9.1484098434448242</v>
      </c>
    </row>
    <row r="181" spans="1:9">
      <c r="A181" s="1">
        <v>33405</v>
      </c>
      <c r="B181">
        <f t="shared" si="43"/>
        <v>2442.7966117858887</v>
      </c>
      <c r="C181">
        <f t="shared" si="44"/>
        <v>16.968708038330078</v>
      </c>
      <c r="D181" s="1">
        <f t="shared" si="45"/>
        <v>33405</v>
      </c>
      <c r="E181">
        <f t="shared" si="46"/>
        <v>1991</v>
      </c>
      <c r="F181" s="13">
        <f t="shared" si="47"/>
        <v>167</v>
      </c>
      <c r="G181">
        <v>25</v>
      </c>
      <c r="H181">
        <v>8.1999999999999993</v>
      </c>
      <c r="I181">
        <f t="shared" si="42"/>
        <v>10.073297500610352</v>
      </c>
    </row>
    <row r="182" spans="1:9">
      <c r="A182" s="1">
        <v>33406</v>
      </c>
      <c r="B182">
        <f t="shared" si="43"/>
        <v>2452.8059682846069</v>
      </c>
      <c r="C182">
        <f t="shared" si="44"/>
        <v>16.97210693359375</v>
      </c>
      <c r="D182" s="1">
        <f t="shared" si="45"/>
        <v>33406</v>
      </c>
      <c r="E182">
        <f t="shared" si="46"/>
        <v>1991</v>
      </c>
      <c r="F182" s="13">
        <f t="shared" si="47"/>
        <v>168</v>
      </c>
      <c r="G182">
        <v>25</v>
      </c>
      <c r="H182">
        <v>8</v>
      </c>
      <c r="I182">
        <f t="shared" si="42"/>
        <v>10.009356498718262</v>
      </c>
    </row>
    <row r="183" spans="1:9">
      <c r="A183" s="1">
        <v>33407</v>
      </c>
      <c r="B183">
        <f t="shared" si="43"/>
        <v>2462.7772598266602</v>
      </c>
      <c r="C183">
        <f t="shared" si="44"/>
        <v>16.974952697753906</v>
      </c>
      <c r="D183" s="1">
        <f t="shared" si="45"/>
        <v>33407</v>
      </c>
      <c r="E183">
        <f t="shared" si="46"/>
        <v>1991</v>
      </c>
      <c r="F183" s="13">
        <f t="shared" si="47"/>
        <v>169</v>
      </c>
      <c r="G183">
        <v>23.8</v>
      </c>
      <c r="H183">
        <v>9.6</v>
      </c>
      <c r="I183">
        <f t="shared" si="42"/>
        <v>9.9712915420532227</v>
      </c>
    </row>
    <row r="184" spans="1:9">
      <c r="A184" s="1">
        <v>33408</v>
      </c>
      <c r="B184">
        <f t="shared" si="43"/>
        <v>2471.0718221664429</v>
      </c>
      <c r="C184">
        <f t="shared" si="44"/>
        <v>16.977239608764648</v>
      </c>
      <c r="D184" s="1">
        <f t="shared" si="45"/>
        <v>33408</v>
      </c>
      <c r="E184">
        <f t="shared" si="46"/>
        <v>1991</v>
      </c>
      <c r="F184" s="13">
        <f t="shared" si="47"/>
        <v>170</v>
      </c>
      <c r="G184">
        <v>23</v>
      </c>
      <c r="H184">
        <v>5.0999999999999996</v>
      </c>
      <c r="I184">
        <f t="shared" si="42"/>
        <v>8.2945623397827148</v>
      </c>
    </row>
    <row r="185" spans="1:9">
      <c r="A185" s="1">
        <v>33409</v>
      </c>
      <c r="B185">
        <f t="shared" si="43"/>
        <v>2481.0922069549561</v>
      </c>
      <c r="C185">
        <f t="shared" si="44"/>
        <v>16.978967666625977</v>
      </c>
      <c r="D185" s="1">
        <f t="shared" si="45"/>
        <v>33409</v>
      </c>
      <c r="E185">
        <f t="shared" si="46"/>
        <v>1991</v>
      </c>
      <c r="F185" s="13">
        <f t="shared" si="47"/>
        <v>171</v>
      </c>
      <c r="G185">
        <v>23</v>
      </c>
      <c r="H185">
        <v>10.9</v>
      </c>
      <c r="I185">
        <f t="shared" si="42"/>
        <v>10.020384788513184</v>
      </c>
    </row>
    <row r="186" spans="1:9">
      <c r="A186" s="1">
        <v>33410</v>
      </c>
      <c r="B186">
        <f t="shared" si="43"/>
        <v>2493.2724227905273</v>
      </c>
      <c r="C186">
        <f t="shared" si="44"/>
        <v>16.980131149291992</v>
      </c>
      <c r="D186" s="1">
        <f t="shared" si="45"/>
        <v>33410</v>
      </c>
      <c r="E186">
        <f t="shared" si="46"/>
        <v>1991</v>
      </c>
      <c r="F186" s="13">
        <f t="shared" si="47"/>
        <v>172</v>
      </c>
      <c r="G186">
        <v>26</v>
      </c>
      <c r="H186">
        <v>13.3</v>
      </c>
      <c r="I186">
        <f t="shared" si="42"/>
        <v>12.180215835571289</v>
      </c>
    </row>
    <row r="187" spans="1:9">
      <c r="A187" s="1">
        <v>33411</v>
      </c>
      <c r="B187">
        <f t="shared" si="43"/>
        <v>2503.782844543457</v>
      </c>
      <c r="C187">
        <f t="shared" si="44"/>
        <v>16.980731964111328</v>
      </c>
      <c r="D187" s="1">
        <f t="shared" si="45"/>
        <v>33411</v>
      </c>
      <c r="E187">
        <f t="shared" si="46"/>
        <v>1991</v>
      </c>
      <c r="F187" s="13">
        <f t="shared" si="47"/>
        <v>173</v>
      </c>
      <c r="G187">
        <v>24</v>
      </c>
      <c r="H187">
        <v>11</v>
      </c>
      <c r="I187">
        <f t="shared" si="42"/>
        <v>10.510421752929687</v>
      </c>
    </row>
    <row r="188" spans="1:9">
      <c r="A188" s="1">
        <v>33412</v>
      </c>
      <c r="B188">
        <f t="shared" si="43"/>
        <v>2511.8788862228394</v>
      </c>
      <c r="C188">
        <f t="shared" si="44"/>
        <v>16.980766296386719</v>
      </c>
      <c r="D188" s="1">
        <f t="shared" si="45"/>
        <v>33412</v>
      </c>
      <c r="E188">
        <f t="shared" si="46"/>
        <v>1991</v>
      </c>
      <c r="F188" s="13">
        <f t="shared" si="47"/>
        <v>174</v>
      </c>
      <c r="G188">
        <v>24</v>
      </c>
      <c r="H188">
        <v>3</v>
      </c>
      <c r="I188">
        <f t="shared" si="42"/>
        <v>8.0960416793823242</v>
      </c>
    </row>
    <row r="189" spans="1:9">
      <c r="A189" s="1">
        <v>33413</v>
      </c>
      <c r="B189">
        <f t="shared" si="43"/>
        <v>2521.5813312530518</v>
      </c>
      <c r="C189">
        <f t="shared" si="44"/>
        <v>16.980236053466797</v>
      </c>
      <c r="D189" s="1">
        <f t="shared" si="45"/>
        <v>33413</v>
      </c>
      <c r="E189">
        <f t="shared" si="46"/>
        <v>1991</v>
      </c>
      <c r="F189" s="13">
        <f t="shared" si="47"/>
        <v>175</v>
      </c>
      <c r="G189">
        <v>26.8</v>
      </c>
      <c r="H189">
        <v>4.4000000000000004</v>
      </c>
      <c r="I189">
        <f t="shared" si="42"/>
        <v>9.7024450302124023</v>
      </c>
    </row>
    <row r="190" spans="1:9">
      <c r="A190" s="1">
        <v>33414</v>
      </c>
      <c r="B190">
        <f t="shared" si="43"/>
        <v>2533.0450944900513</v>
      </c>
      <c r="C190">
        <f t="shared" si="44"/>
        <v>16.979143142700195</v>
      </c>
      <c r="D190" s="1">
        <f t="shared" si="45"/>
        <v>33414</v>
      </c>
      <c r="E190">
        <f t="shared" si="46"/>
        <v>1991</v>
      </c>
      <c r="F190" s="13">
        <f t="shared" si="47"/>
        <v>176</v>
      </c>
      <c r="G190">
        <v>26.5</v>
      </c>
      <c r="H190">
        <v>10.4</v>
      </c>
      <c r="I190">
        <f t="shared" si="42"/>
        <v>11.463763236999512</v>
      </c>
    </row>
    <row r="191" spans="1:9">
      <c r="A191" s="1">
        <v>33415</v>
      </c>
      <c r="B191">
        <f t="shared" si="43"/>
        <v>2544.1055736541748</v>
      </c>
      <c r="C191">
        <f t="shared" si="44"/>
        <v>16.977485656738281</v>
      </c>
      <c r="D191" s="1">
        <f t="shared" si="45"/>
        <v>33415</v>
      </c>
      <c r="E191">
        <f t="shared" si="46"/>
        <v>1991</v>
      </c>
      <c r="F191" s="13">
        <f t="shared" si="47"/>
        <v>177</v>
      </c>
      <c r="G191">
        <v>28.9</v>
      </c>
      <c r="H191">
        <v>5.7</v>
      </c>
      <c r="I191">
        <f t="shared" si="42"/>
        <v>11.060479164123535</v>
      </c>
    </row>
    <row r="192" spans="1:9">
      <c r="A192" s="1">
        <v>33416</v>
      </c>
      <c r="B192">
        <f t="shared" si="43"/>
        <v>2553.3187131881714</v>
      </c>
      <c r="C192">
        <f t="shared" si="44"/>
        <v>16.975269317626953</v>
      </c>
      <c r="D192" s="1">
        <f t="shared" si="45"/>
        <v>33416</v>
      </c>
      <c r="E192">
        <f t="shared" si="46"/>
        <v>1991</v>
      </c>
      <c r="F192" s="13">
        <f t="shared" si="47"/>
        <v>178</v>
      </c>
      <c r="G192">
        <v>25.3</v>
      </c>
      <c r="H192">
        <v>4.9000000000000004</v>
      </c>
      <c r="I192">
        <f t="shared" si="42"/>
        <v>9.213139533996582</v>
      </c>
    </row>
    <row r="193" spans="1:9">
      <c r="A193" s="1">
        <v>33417</v>
      </c>
      <c r="B193">
        <f t="shared" si="43"/>
        <v>2563.3548040390015</v>
      </c>
      <c r="C193">
        <f t="shared" si="44"/>
        <v>16.972494125366211</v>
      </c>
      <c r="D193" s="1">
        <f t="shared" si="45"/>
        <v>33417</v>
      </c>
      <c r="E193">
        <f t="shared" si="46"/>
        <v>1991</v>
      </c>
      <c r="F193" s="13">
        <f t="shared" si="47"/>
        <v>179</v>
      </c>
      <c r="G193">
        <v>24.5</v>
      </c>
      <c r="H193">
        <v>8.8000000000000007</v>
      </c>
      <c r="I193">
        <f t="shared" si="42"/>
        <v>10.036090850830078</v>
      </c>
    </row>
    <row r="194" spans="1:9">
      <c r="A194" s="1">
        <v>33418</v>
      </c>
      <c r="B194">
        <f t="shared" si="43"/>
        <v>2573.8231620788574</v>
      </c>
      <c r="C194">
        <f t="shared" si="44"/>
        <v>16.96916389465332</v>
      </c>
      <c r="D194" s="1">
        <f t="shared" si="45"/>
        <v>33418</v>
      </c>
      <c r="E194">
        <f t="shared" si="46"/>
        <v>1991</v>
      </c>
      <c r="F194" s="13">
        <f t="shared" si="47"/>
        <v>180</v>
      </c>
      <c r="G194">
        <v>26.7</v>
      </c>
      <c r="H194">
        <v>7</v>
      </c>
      <c r="I194">
        <f t="shared" si="42"/>
        <v>10.468358039855957</v>
      </c>
    </row>
    <row r="195" spans="1:9">
      <c r="A195" s="1">
        <v>33419</v>
      </c>
      <c r="B195">
        <f t="shared" si="43"/>
        <v>2584.2429056167603</v>
      </c>
      <c r="C195">
        <f t="shared" si="44"/>
        <v>16.965280532836914</v>
      </c>
      <c r="D195" s="1">
        <f t="shared" si="45"/>
        <v>33419</v>
      </c>
      <c r="E195">
        <f t="shared" si="46"/>
        <v>1991</v>
      </c>
      <c r="F195" s="13">
        <f t="shared" si="47"/>
        <v>181</v>
      </c>
      <c r="G195">
        <v>24.5</v>
      </c>
      <c r="H195">
        <v>10</v>
      </c>
      <c r="I195">
        <f t="shared" si="42"/>
        <v>10.419743537902832</v>
      </c>
    </row>
    <row r="196" spans="1:9">
      <c r="A196" s="1">
        <v>33420</v>
      </c>
      <c r="B196">
        <f t="shared" si="43"/>
        <v>2592.0622453689575</v>
      </c>
      <c r="C196">
        <f t="shared" si="44"/>
        <v>16.960851669311523</v>
      </c>
      <c r="D196" s="1">
        <f t="shared" si="45"/>
        <v>33420</v>
      </c>
      <c r="E196">
        <f t="shared" si="46"/>
        <v>1991</v>
      </c>
      <c r="F196" s="13">
        <f t="shared" si="47"/>
        <v>182</v>
      </c>
      <c r="G196">
        <v>23</v>
      </c>
      <c r="H196">
        <v>3.5</v>
      </c>
      <c r="I196">
        <f t="shared" si="42"/>
        <v>7.8193397521972656</v>
      </c>
    </row>
    <row r="197" spans="1:9">
      <c r="A197" s="1">
        <v>33421</v>
      </c>
      <c r="B197">
        <f t="shared" si="43"/>
        <v>2600.56471824646</v>
      </c>
      <c r="C197">
        <f t="shared" si="44"/>
        <v>16.955881118774414</v>
      </c>
      <c r="D197" s="1">
        <f t="shared" si="45"/>
        <v>33421</v>
      </c>
      <c r="E197">
        <f t="shared" si="46"/>
        <v>1991</v>
      </c>
      <c r="F197" s="13">
        <f t="shared" si="47"/>
        <v>183</v>
      </c>
      <c r="G197">
        <v>23</v>
      </c>
      <c r="H197">
        <v>5.8</v>
      </c>
      <c r="I197">
        <f t="shared" si="42"/>
        <v>8.5024728775024414</v>
      </c>
    </row>
    <row r="198" spans="1:9">
      <c r="A198" s="1">
        <v>33422</v>
      </c>
      <c r="B198">
        <f t="shared" si="43"/>
        <v>2609.6659126281738</v>
      </c>
      <c r="C198">
        <f t="shared" si="44"/>
        <v>16.950374603271484</v>
      </c>
      <c r="D198" s="1">
        <f t="shared" si="45"/>
        <v>33422</v>
      </c>
      <c r="E198">
        <f t="shared" si="46"/>
        <v>1991</v>
      </c>
      <c r="F198" s="13">
        <f t="shared" si="47"/>
        <v>184</v>
      </c>
      <c r="G198">
        <v>23.5</v>
      </c>
      <c r="H198">
        <v>7.1</v>
      </c>
      <c r="I198">
        <f t="shared" si="42"/>
        <v>9.1011943817138672</v>
      </c>
    </row>
    <row r="199" spans="1:9">
      <c r="A199" s="1">
        <v>33423</v>
      </c>
      <c r="B199">
        <f t="shared" si="43"/>
        <v>2618.5032253265381</v>
      </c>
      <c r="C199">
        <f t="shared" si="44"/>
        <v>16.944337844848633</v>
      </c>
      <c r="D199" s="1">
        <f t="shared" si="45"/>
        <v>33423</v>
      </c>
      <c r="E199">
        <f t="shared" si="46"/>
        <v>1991</v>
      </c>
      <c r="F199" s="13">
        <f t="shared" si="47"/>
        <v>185</v>
      </c>
      <c r="G199">
        <v>22.6</v>
      </c>
      <c r="H199">
        <v>7.5</v>
      </c>
      <c r="I199">
        <f t="shared" si="42"/>
        <v>8.8373126983642578</v>
      </c>
    </row>
    <row r="200" spans="1:9">
      <c r="A200" s="1">
        <v>33424</v>
      </c>
      <c r="B200">
        <f t="shared" si="43"/>
        <v>2627.8792247772217</v>
      </c>
      <c r="C200">
        <f t="shared" si="44"/>
        <v>16.937776565551758</v>
      </c>
      <c r="D200" s="1">
        <f t="shared" si="45"/>
        <v>33424</v>
      </c>
      <c r="E200">
        <f t="shared" si="46"/>
        <v>1991</v>
      </c>
      <c r="F200" s="13">
        <f t="shared" si="47"/>
        <v>186</v>
      </c>
      <c r="G200">
        <v>22.4</v>
      </c>
      <c r="H200">
        <v>9.6</v>
      </c>
      <c r="I200">
        <f t="shared" si="42"/>
        <v>9.3759994506835938</v>
      </c>
    </row>
    <row r="201" spans="1:9">
      <c r="A201" s="1">
        <v>33425</v>
      </c>
      <c r="B201">
        <f t="shared" si="43"/>
        <v>2637.2274188995361</v>
      </c>
      <c r="C201">
        <f t="shared" si="44"/>
        <v>16.930702209472656</v>
      </c>
      <c r="D201" s="1">
        <f t="shared" si="45"/>
        <v>33425</v>
      </c>
      <c r="E201">
        <f t="shared" si="46"/>
        <v>1991</v>
      </c>
      <c r="F201" s="13">
        <f t="shared" si="47"/>
        <v>187</v>
      </c>
      <c r="G201">
        <v>24.5</v>
      </c>
      <c r="H201">
        <v>6.5</v>
      </c>
      <c r="I201">
        <f t="shared" si="42"/>
        <v>9.3481941223144531</v>
      </c>
    </row>
    <row r="202" spans="1:9">
      <c r="A202" s="1">
        <v>33426</v>
      </c>
      <c r="B202">
        <f t="shared" si="43"/>
        <v>2645.2155780792236</v>
      </c>
      <c r="C202">
        <f t="shared" si="44"/>
        <v>16.923118591308594</v>
      </c>
      <c r="D202" s="1">
        <f t="shared" si="45"/>
        <v>33426</v>
      </c>
      <c r="E202">
        <f t="shared" si="46"/>
        <v>1991</v>
      </c>
      <c r="F202" s="13">
        <f t="shared" si="47"/>
        <v>188</v>
      </c>
      <c r="G202">
        <v>22</v>
      </c>
      <c r="H202">
        <v>5.5</v>
      </c>
      <c r="I202">
        <f t="shared" si="42"/>
        <v>7.9881591796875</v>
      </c>
    </row>
    <row r="203" spans="1:9">
      <c r="A203" s="1">
        <v>33427</v>
      </c>
      <c r="B203">
        <f t="shared" si="43"/>
        <v>2654.5199871063232</v>
      </c>
      <c r="C203">
        <f t="shared" si="44"/>
        <v>16.915035247802734</v>
      </c>
      <c r="D203" s="1">
        <f t="shared" si="45"/>
        <v>33427</v>
      </c>
      <c r="E203">
        <f t="shared" si="46"/>
        <v>1991</v>
      </c>
      <c r="F203" s="13">
        <f t="shared" si="47"/>
        <v>189</v>
      </c>
      <c r="G203">
        <v>23</v>
      </c>
      <c r="H203">
        <v>8.5</v>
      </c>
      <c r="I203">
        <f t="shared" si="42"/>
        <v>9.3044090270996094</v>
      </c>
    </row>
    <row r="204" spans="1:9">
      <c r="A204" s="1">
        <v>33428</v>
      </c>
      <c r="B204">
        <f t="shared" si="43"/>
        <v>2662.9088764190674</v>
      </c>
      <c r="C204">
        <f t="shared" si="44"/>
        <v>16.906461715698242</v>
      </c>
      <c r="D204" s="1">
        <f t="shared" si="45"/>
        <v>33428</v>
      </c>
      <c r="E204">
        <f t="shared" si="46"/>
        <v>1991</v>
      </c>
      <c r="F204" s="13">
        <f t="shared" si="47"/>
        <v>190</v>
      </c>
      <c r="G204">
        <v>18</v>
      </c>
      <c r="H204">
        <v>12.2</v>
      </c>
      <c r="I204">
        <f t="shared" si="42"/>
        <v>8.3888893127441406</v>
      </c>
    </row>
    <row r="205" spans="1:9">
      <c r="A205" s="1">
        <v>33429</v>
      </c>
      <c r="B205">
        <f t="shared" si="43"/>
        <v>2669.8533205986023</v>
      </c>
      <c r="C205">
        <f t="shared" si="44"/>
        <v>16.897405624389648</v>
      </c>
      <c r="D205" s="1">
        <f t="shared" si="45"/>
        <v>33429</v>
      </c>
      <c r="E205">
        <f t="shared" si="46"/>
        <v>1991</v>
      </c>
      <c r="F205" s="13">
        <f t="shared" si="47"/>
        <v>191</v>
      </c>
      <c r="G205">
        <v>16.8</v>
      </c>
      <c r="H205">
        <v>8.1999999999999993</v>
      </c>
      <c r="I205">
        <f t="shared" si="42"/>
        <v>6.9444441795349121</v>
      </c>
    </row>
    <row r="206" spans="1:9">
      <c r="A206" s="1">
        <v>33430</v>
      </c>
      <c r="B206">
        <f t="shared" si="43"/>
        <v>2677.1310982704163</v>
      </c>
      <c r="C206">
        <f t="shared" si="44"/>
        <v>16.887880325317383</v>
      </c>
      <c r="D206" s="1">
        <f t="shared" si="45"/>
        <v>33430</v>
      </c>
      <c r="E206">
        <f t="shared" si="46"/>
        <v>1991</v>
      </c>
      <c r="F206" s="13">
        <f t="shared" si="47"/>
        <v>192</v>
      </c>
      <c r="G206">
        <v>17</v>
      </c>
      <c r="H206">
        <v>9.1999999999999993</v>
      </c>
      <c r="I206">
        <f t="shared" si="42"/>
        <v>7.2777776718139648</v>
      </c>
    </row>
    <row r="207" spans="1:9">
      <c r="A207" s="1">
        <v>33431</v>
      </c>
      <c r="B207">
        <f t="shared" si="43"/>
        <v>2685.3801293373108</v>
      </c>
      <c r="C207">
        <f t="shared" si="44"/>
        <v>16.877891540527344</v>
      </c>
      <c r="D207" s="1">
        <f t="shared" si="45"/>
        <v>33431</v>
      </c>
      <c r="E207">
        <f t="shared" si="46"/>
        <v>1991</v>
      </c>
      <c r="F207" s="13">
        <f t="shared" si="47"/>
        <v>193</v>
      </c>
      <c r="G207">
        <v>19</v>
      </c>
      <c r="H207">
        <v>10.5</v>
      </c>
      <c r="I207">
        <f t="shared" ref="I207:I270" si="48">tt(G207,H207,$C$6:$F$6,$C$7:$F$7)</f>
        <v>8.2490310668945313</v>
      </c>
    </row>
    <row r="208" spans="1:9">
      <c r="A208" s="1">
        <v>33432</v>
      </c>
      <c r="B208">
        <f t="shared" ref="B208:B271" si="49">B207+I208</f>
        <v>2694.4362759590149</v>
      </c>
      <c r="C208">
        <f t="shared" ref="C208:C271" si="50">day_length(F208,$I$7,$C$13)</f>
        <v>16.867452621459961</v>
      </c>
      <c r="D208" s="1">
        <f t="shared" ref="D208:D271" si="51">A208</f>
        <v>33432</v>
      </c>
      <c r="E208">
        <f t="shared" ref="E208:E271" si="52">YEAR(A208)</f>
        <v>1991</v>
      </c>
      <c r="F208" s="13">
        <f t="shared" ref="F208:F271" si="53">A208-DATE(E208,1,1)+1</f>
        <v>194</v>
      </c>
      <c r="G208">
        <v>20.6</v>
      </c>
      <c r="H208">
        <v>11.1</v>
      </c>
      <c r="I208">
        <f t="shared" si="48"/>
        <v>9.0561466217041016</v>
      </c>
    </row>
    <row r="209" spans="1:9">
      <c r="A209" s="1">
        <v>33433</v>
      </c>
      <c r="B209">
        <f t="shared" si="49"/>
        <v>2701.6584987640381</v>
      </c>
      <c r="C209">
        <f t="shared" si="50"/>
        <v>16.856575012207031</v>
      </c>
      <c r="D209" s="1">
        <f t="shared" si="51"/>
        <v>33433</v>
      </c>
      <c r="E209">
        <f t="shared" si="52"/>
        <v>1991</v>
      </c>
      <c r="F209" s="13">
        <f t="shared" si="53"/>
        <v>195</v>
      </c>
      <c r="G209">
        <v>16</v>
      </c>
      <c r="H209">
        <v>10</v>
      </c>
      <c r="I209">
        <f t="shared" si="48"/>
        <v>7.2222228050231934</v>
      </c>
    </row>
    <row r="210" spans="1:9">
      <c r="A210" s="1">
        <v>33434</v>
      </c>
      <c r="B210">
        <f t="shared" si="49"/>
        <v>2708.8045334815979</v>
      </c>
      <c r="C210">
        <f t="shared" si="50"/>
        <v>16.845268249511719</v>
      </c>
      <c r="D210" s="1">
        <f t="shared" si="51"/>
        <v>33434</v>
      </c>
      <c r="E210">
        <f t="shared" si="52"/>
        <v>1991</v>
      </c>
      <c r="F210" s="13">
        <f t="shared" si="53"/>
        <v>196</v>
      </c>
      <c r="G210">
        <v>19</v>
      </c>
      <c r="H210">
        <v>6.6</v>
      </c>
      <c r="I210">
        <f t="shared" si="48"/>
        <v>7.1460347175598145</v>
      </c>
    </row>
    <row r="211" spans="1:9">
      <c r="A211" s="1">
        <v>33435</v>
      </c>
      <c r="B211">
        <f t="shared" si="49"/>
        <v>2716.079430103302</v>
      </c>
      <c r="C211">
        <f t="shared" si="50"/>
        <v>16.83354377746582</v>
      </c>
      <c r="D211" s="1">
        <f t="shared" si="51"/>
        <v>33435</v>
      </c>
      <c r="E211">
        <f t="shared" si="52"/>
        <v>1991</v>
      </c>
      <c r="F211" s="13">
        <f t="shared" si="53"/>
        <v>197</v>
      </c>
      <c r="G211">
        <v>19.8</v>
      </c>
      <c r="H211">
        <v>6</v>
      </c>
      <c r="I211">
        <f t="shared" si="48"/>
        <v>7.2748966217041016</v>
      </c>
    </row>
    <row r="212" spans="1:9">
      <c r="A212" s="1">
        <v>33436</v>
      </c>
      <c r="B212">
        <f t="shared" si="49"/>
        <v>2722.448251247406</v>
      </c>
      <c r="C212">
        <f t="shared" si="50"/>
        <v>16.821414947509766</v>
      </c>
      <c r="D212" s="1">
        <f t="shared" si="51"/>
        <v>33436</v>
      </c>
      <c r="E212">
        <f t="shared" si="52"/>
        <v>1991</v>
      </c>
      <c r="F212" s="13">
        <f t="shared" si="53"/>
        <v>198</v>
      </c>
      <c r="G212">
        <v>19.100000000000001</v>
      </c>
      <c r="H212">
        <v>3.7</v>
      </c>
      <c r="I212">
        <f t="shared" si="48"/>
        <v>6.3688211441040039</v>
      </c>
    </row>
    <row r="213" spans="1:9">
      <c r="A213" s="1">
        <v>33437</v>
      </c>
      <c r="B213">
        <f t="shared" si="49"/>
        <v>2729.1347298622131</v>
      </c>
      <c r="C213">
        <f t="shared" si="50"/>
        <v>16.808893203735352</v>
      </c>
      <c r="D213" s="1">
        <f t="shared" si="51"/>
        <v>33437</v>
      </c>
      <c r="E213">
        <f t="shared" si="52"/>
        <v>1991</v>
      </c>
      <c r="F213" s="13">
        <f t="shared" si="53"/>
        <v>199</v>
      </c>
      <c r="G213">
        <v>19.600000000000001</v>
      </c>
      <c r="H213">
        <v>4.2</v>
      </c>
      <c r="I213">
        <f t="shared" si="48"/>
        <v>6.6864786148071289</v>
      </c>
    </row>
    <row r="214" spans="1:9">
      <c r="A214" s="1">
        <v>33438</v>
      </c>
      <c r="B214">
        <f t="shared" si="49"/>
        <v>2738.3025488853455</v>
      </c>
      <c r="C214">
        <f t="shared" si="50"/>
        <v>16.795991897583008</v>
      </c>
      <c r="D214" s="1">
        <f t="shared" si="51"/>
        <v>33438</v>
      </c>
      <c r="E214">
        <f t="shared" si="52"/>
        <v>1991</v>
      </c>
      <c r="F214" s="13">
        <f t="shared" si="53"/>
        <v>200</v>
      </c>
      <c r="G214">
        <v>26.8</v>
      </c>
      <c r="H214">
        <v>2.6</v>
      </c>
      <c r="I214">
        <f t="shared" si="48"/>
        <v>9.1678190231323242</v>
      </c>
    </row>
    <row r="215" spans="1:9">
      <c r="A215" s="1">
        <v>33439</v>
      </c>
      <c r="B215">
        <f t="shared" si="49"/>
        <v>2747.1214442253113</v>
      </c>
      <c r="C215">
        <f t="shared" si="50"/>
        <v>16.782724380493164</v>
      </c>
      <c r="D215" s="1">
        <f t="shared" si="51"/>
        <v>33439</v>
      </c>
      <c r="E215">
        <f t="shared" si="52"/>
        <v>1991</v>
      </c>
      <c r="F215" s="13">
        <f t="shared" si="53"/>
        <v>201</v>
      </c>
      <c r="G215">
        <v>25.7</v>
      </c>
      <c r="H215">
        <v>3</v>
      </c>
      <c r="I215">
        <f t="shared" si="48"/>
        <v>8.8188953399658203</v>
      </c>
    </row>
    <row r="216" spans="1:9">
      <c r="A216" s="1">
        <v>33440</v>
      </c>
      <c r="B216">
        <f t="shared" si="49"/>
        <v>2756.6700549125671</v>
      </c>
      <c r="C216">
        <f t="shared" si="50"/>
        <v>16.769100189208984</v>
      </c>
      <c r="D216" s="1">
        <f t="shared" si="51"/>
        <v>33440</v>
      </c>
      <c r="E216">
        <f t="shared" si="52"/>
        <v>1991</v>
      </c>
      <c r="F216" s="13">
        <f t="shared" si="53"/>
        <v>202</v>
      </c>
      <c r="G216">
        <v>25.6</v>
      </c>
      <c r="H216">
        <v>5.6</v>
      </c>
      <c r="I216">
        <f t="shared" si="48"/>
        <v>9.5486106872558594</v>
      </c>
    </row>
    <row r="217" spans="1:9">
      <c r="A217" s="1">
        <v>33441</v>
      </c>
      <c r="B217">
        <f t="shared" si="49"/>
        <v>2763.5947575569153</v>
      </c>
      <c r="C217">
        <f t="shared" si="50"/>
        <v>16.755132675170898</v>
      </c>
      <c r="D217" s="1">
        <f t="shared" si="51"/>
        <v>33441</v>
      </c>
      <c r="E217">
        <f t="shared" si="52"/>
        <v>1991</v>
      </c>
      <c r="F217" s="13">
        <f t="shared" si="53"/>
        <v>203</v>
      </c>
      <c r="G217">
        <v>20</v>
      </c>
      <c r="H217">
        <v>4.5</v>
      </c>
      <c r="I217">
        <f t="shared" si="48"/>
        <v>6.9247026443481445</v>
      </c>
    </row>
    <row r="218" spans="1:9">
      <c r="A218" s="1">
        <v>33442</v>
      </c>
      <c r="B218">
        <f t="shared" si="49"/>
        <v>2770.4181723594666</v>
      </c>
      <c r="C218">
        <f t="shared" si="50"/>
        <v>16.740839004516602</v>
      </c>
      <c r="D218" s="1">
        <f t="shared" si="51"/>
        <v>33442</v>
      </c>
      <c r="E218">
        <f t="shared" si="52"/>
        <v>1991</v>
      </c>
      <c r="F218" s="13">
        <f t="shared" si="53"/>
        <v>204</v>
      </c>
      <c r="G218">
        <v>21</v>
      </c>
      <c r="H218">
        <v>2.8</v>
      </c>
      <c r="I218">
        <f t="shared" si="48"/>
        <v>6.8234148025512695</v>
      </c>
    </row>
    <row r="219" spans="1:9">
      <c r="A219" s="1">
        <v>33443</v>
      </c>
      <c r="B219">
        <f t="shared" si="49"/>
        <v>2776.3903942108154</v>
      </c>
      <c r="C219">
        <f t="shared" si="50"/>
        <v>16.726230621337891</v>
      </c>
      <c r="D219" s="1">
        <f t="shared" si="51"/>
        <v>33443</v>
      </c>
      <c r="E219">
        <f t="shared" si="52"/>
        <v>1991</v>
      </c>
      <c r="F219" s="13">
        <f t="shared" si="53"/>
        <v>205</v>
      </c>
      <c r="G219">
        <v>18</v>
      </c>
      <c r="H219">
        <v>3.5</v>
      </c>
      <c r="I219">
        <f t="shared" si="48"/>
        <v>5.972221851348877</v>
      </c>
    </row>
    <row r="220" spans="1:9">
      <c r="A220" s="1">
        <v>33444</v>
      </c>
      <c r="B220">
        <f t="shared" si="49"/>
        <v>2782.3418827056885</v>
      </c>
      <c r="C220">
        <f t="shared" si="50"/>
        <v>16.71131706237793</v>
      </c>
      <c r="D220" s="1">
        <f t="shared" si="51"/>
        <v>33444</v>
      </c>
      <c r="E220">
        <f t="shared" si="52"/>
        <v>1991</v>
      </c>
      <c r="F220" s="13">
        <f t="shared" si="53"/>
        <v>206</v>
      </c>
      <c r="G220">
        <v>18.600000000000001</v>
      </c>
      <c r="H220">
        <v>2.8</v>
      </c>
      <c r="I220">
        <f t="shared" si="48"/>
        <v>5.9514884948730469</v>
      </c>
    </row>
    <row r="221" spans="1:9">
      <c r="A221" s="1">
        <v>33445</v>
      </c>
      <c r="B221">
        <f t="shared" si="49"/>
        <v>2788.3418827056885</v>
      </c>
      <c r="C221">
        <f t="shared" si="50"/>
        <v>16.696117401123047</v>
      </c>
      <c r="D221" s="1">
        <f t="shared" si="51"/>
        <v>33445</v>
      </c>
      <c r="E221">
        <f t="shared" si="52"/>
        <v>1991</v>
      </c>
      <c r="F221" s="13">
        <f t="shared" si="53"/>
        <v>207</v>
      </c>
      <c r="G221">
        <v>18.399999999999999</v>
      </c>
      <c r="H221">
        <v>3.2</v>
      </c>
      <c r="I221">
        <f t="shared" si="48"/>
        <v>6</v>
      </c>
    </row>
    <row r="222" spans="1:9">
      <c r="A222" s="1">
        <v>33446</v>
      </c>
      <c r="B222">
        <f t="shared" si="49"/>
        <v>2793.7047128677368</v>
      </c>
      <c r="C222">
        <f t="shared" si="50"/>
        <v>16.680643081665039</v>
      </c>
      <c r="D222" s="1">
        <f t="shared" si="51"/>
        <v>33446</v>
      </c>
      <c r="E222">
        <f t="shared" si="52"/>
        <v>1991</v>
      </c>
      <c r="F222" s="13">
        <f t="shared" si="53"/>
        <v>208</v>
      </c>
      <c r="G222">
        <v>19.100000000000001</v>
      </c>
      <c r="H222">
        <v>0.1</v>
      </c>
      <c r="I222">
        <f t="shared" si="48"/>
        <v>5.3628301620483398</v>
      </c>
    </row>
    <row r="223" spans="1:9">
      <c r="A223" s="1">
        <v>33447</v>
      </c>
      <c r="B223">
        <f t="shared" si="49"/>
        <v>2800.4996838569641</v>
      </c>
      <c r="C223">
        <f t="shared" si="50"/>
        <v>16.66490364074707</v>
      </c>
      <c r="D223" s="1">
        <f t="shared" si="51"/>
        <v>33447</v>
      </c>
      <c r="E223">
        <f t="shared" si="52"/>
        <v>1991</v>
      </c>
      <c r="F223" s="13">
        <f t="shared" si="53"/>
        <v>209</v>
      </c>
      <c r="G223">
        <v>21</v>
      </c>
      <c r="H223">
        <v>2.7</v>
      </c>
      <c r="I223">
        <f t="shared" si="48"/>
        <v>6.7949709892272949</v>
      </c>
    </row>
    <row r="224" spans="1:9">
      <c r="A224" s="1">
        <v>33448</v>
      </c>
      <c r="B224">
        <f t="shared" si="49"/>
        <v>2807.5870633125305</v>
      </c>
      <c r="C224">
        <f t="shared" si="50"/>
        <v>16.648920059204102</v>
      </c>
      <c r="D224" s="1">
        <f t="shared" si="51"/>
        <v>33448</v>
      </c>
      <c r="E224">
        <f t="shared" si="52"/>
        <v>1991</v>
      </c>
      <c r="F224" s="13">
        <f t="shared" si="53"/>
        <v>210</v>
      </c>
      <c r="G224">
        <v>20.5</v>
      </c>
      <c r="H224">
        <v>4.4000000000000004</v>
      </c>
      <c r="I224">
        <f t="shared" si="48"/>
        <v>7.0873794555664062</v>
      </c>
    </row>
    <row r="225" spans="1:9">
      <c r="A225" s="1">
        <v>33449</v>
      </c>
      <c r="B225">
        <f t="shared" si="49"/>
        <v>2815.0441994667053</v>
      </c>
      <c r="C225">
        <f t="shared" si="50"/>
        <v>16.632699966430664</v>
      </c>
      <c r="D225" s="1">
        <f t="shared" si="51"/>
        <v>33449</v>
      </c>
      <c r="E225">
        <f t="shared" si="52"/>
        <v>1991</v>
      </c>
      <c r="F225" s="13">
        <f t="shared" si="53"/>
        <v>211</v>
      </c>
      <c r="G225">
        <v>20.5</v>
      </c>
      <c r="H225">
        <v>5.7</v>
      </c>
      <c r="I225">
        <f t="shared" si="48"/>
        <v>7.4571361541748047</v>
      </c>
    </row>
    <row r="226" spans="1:9">
      <c r="A226" s="1">
        <v>33450</v>
      </c>
      <c r="B226">
        <f t="shared" si="49"/>
        <v>2821.9076390266418</v>
      </c>
      <c r="C226">
        <f t="shared" si="50"/>
        <v>16.616260528564453</v>
      </c>
      <c r="D226" s="1">
        <f t="shared" si="51"/>
        <v>33450</v>
      </c>
      <c r="E226">
        <f t="shared" si="52"/>
        <v>1991</v>
      </c>
      <c r="F226" s="13">
        <f t="shared" si="53"/>
        <v>212</v>
      </c>
      <c r="G226">
        <v>21.7</v>
      </c>
      <c r="H226">
        <v>2</v>
      </c>
      <c r="I226">
        <f t="shared" si="48"/>
        <v>6.8634395599365234</v>
      </c>
    </row>
    <row r="227" spans="1:9">
      <c r="A227" s="1">
        <v>33451</v>
      </c>
      <c r="B227">
        <f t="shared" si="49"/>
        <v>2830.7130827903748</v>
      </c>
      <c r="C227">
        <f t="shared" si="50"/>
        <v>16.599613189697266</v>
      </c>
      <c r="D227" s="1">
        <f t="shared" si="51"/>
        <v>33451</v>
      </c>
      <c r="E227">
        <f t="shared" si="52"/>
        <v>1991</v>
      </c>
      <c r="F227" s="13">
        <f t="shared" si="53"/>
        <v>213</v>
      </c>
      <c r="G227">
        <v>24.9</v>
      </c>
      <c r="H227">
        <v>4.0999999999999996</v>
      </c>
      <c r="I227">
        <f t="shared" si="48"/>
        <v>8.8054437637329102</v>
      </c>
    </row>
    <row r="228" spans="1:9">
      <c r="A228" s="1">
        <v>33452</v>
      </c>
      <c r="B228">
        <f t="shared" si="49"/>
        <v>2839.8014578819275</v>
      </c>
      <c r="C228">
        <f t="shared" si="50"/>
        <v>16.582771301269531</v>
      </c>
      <c r="D228" s="1">
        <f t="shared" si="51"/>
        <v>33452</v>
      </c>
      <c r="E228">
        <f t="shared" si="52"/>
        <v>1991</v>
      </c>
      <c r="F228" s="13">
        <f t="shared" si="53"/>
        <v>214</v>
      </c>
      <c r="G228">
        <v>23.4</v>
      </c>
      <c r="H228">
        <v>7.2</v>
      </c>
      <c r="I228">
        <f t="shared" si="48"/>
        <v>9.0883750915527344</v>
      </c>
    </row>
    <row r="229" spans="1:9">
      <c r="A229" s="1">
        <v>33453</v>
      </c>
      <c r="B229">
        <f t="shared" si="49"/>
        <v>2847.3872494697571</v>
      </c>
      <c r="C229">
        <f t="shared" si="50"/>
        <v>16.56574821472168</v>
      </c>
      <c r="D229" s="1">
        <f t="shared" si="51"/>
        <v>33453</v>
      </c>
      <c r="E229">
        <f t="shared" si="52"/>
        <v>1991</v>
      </c>
      <c r="F229" s="13">
        <f t="shared" si="53"/>
        <v>215</v>
      </c>
      <c r="G229">
        <v>22.8</v>
      </c>
      <c r="H229">
        <v>3</v>
      </c>
      <c r="I229">
        <f t="shared" si="48"/>
        <v>7.5857915878295898</v>
      </c>
    </row>
    <row r="230" spans="1:9">
      <c r="A230" s="1">
        <v>33454</v>
      </c>
      <c r="B230">
        <f t="shared" si="49"/>
        <v>2857.2638392448425</v>
      </c>
      <c r="C230">
        <f t="shared" si="50"/>
        <v>16.548557281494141</v>
      </c>
      <c r="D230" s="1">
        <f t="shared" si="51"/>
        <v>33454</v>
      </c>
      <c r="E230">
        <f t="shared" si="52"/>
        <v>1991</v>
      </c>
      <c r="F230" s="13">
        <f t="shared" si="53"/>
        <v>216</v>
      </c>
      <c r="G230">
        <v>27</v>
      </c>
      <c r="H230">
        <v>4.7</v>
      </c>
      <c r="I230">
        <f t="shared" si="48"/>
        <v>9.8765897750854492</v>
      </c>
    </row>
    <row r="231" spans="1:9">
      <c r="A231" s="1">
        <v>33455</v>
      </c>
      <c r="B231">
        <f t="shared" si="49"/>
        <v>2869.257652759552</v>
      </c>
      <c r="C231">
        <f t="shared" si="50"/>
        <v>16.531211853027344</v>
      </c>
      <c r="D231" s="1">
        <f t="shared" si="51"/>
        <v>33455</v>
      </c>
      <c r="E231">
        <f t="shared" si="52"/>
        <v>1991</v>
      </c>
      <c r="F231" s="13">
        <f t="shared" si="53"/>
        <v>217</v>
      </c>
      <c r="G231">
        <v>30.1</v>
      </c>
      <c r="H231">
        <v>6.9</v>
      </c>
      <c r="I231">
        <f t="shared" si="48"/>
        <v>11.993813514709473</v>
      </c>
    </row>
    <row r="232" spans="1:9">
      <c r="A232" s="1">
        <v>33456</v>
      </c>
      <c r="B232">
        <f t="shared" si="49"/>
        <v>2880.113028049469</v>
      </c>
      <c r="C232">
        <f t="shared" si="50"/>
        <v>16.513725280761719</v>
      </c>
      <c r="D232" s="1">
        <f t="shared" si="51"/>
        <v>33456</v>
      </c>
      <c r="E232">
        <f t="shared" si="52"/>
        <v>1991</v>
      </c>
      <c r="F232" s="13">
        <f t="shared" si="53"/>
        <v>218</v>
      </c>
      <c r="G232">
        <v>25.8</v>
      </c>
      <c r="H232">
        <v>9.5</v>
      </c>
      <c r="I232">
        <f t="shared" si="48"/>
        <v>10.855375289916992</v>
      </c>
    </row>
    <row r="233" spans="1:9">
      <c r="A233" s="1">
        <v>33457</v>
      </c>
      <c r="B233">
        <f t="shared" si="49"/>
        <v>2890.2354969978333</v>
      </c>
      <c r="C233">
        <f t="shared" si="50"/>
        <v>16.496110916137695</v>
      </c>
      <c r="D233" s="1">
        <f t="shared" si="51"/>
        <v>33457</v>
      </c>
      <c r="E233">
        <f t="shared" si="52"/>
        <v>1991</v>
      </c>
      <c r="F233" s="13">
        <f t="shared" si="53"/>
        <v>219</v>
      </c>
      <c r="G233">
        <v>24.2</v>
      </c>
      <c r="H233">
        <v>9.5</v>
      </c>
      <c r="I233">
        <f t="shared" si="48"/>
        <v>10.122468948364258</v>
      </c>
    </row>
    <row r="234" spans="1:9">
      <c r="A234" s="1">
        <v>33458</v>
      </c>
      <c r="B234">
        <f t="shared" si="49"/>
        <v>2898.1608233451843</v>
      </c>
      <c r="C234">
        <f t="shared" si="50"/>
        <v>16.478378295898437</v>
      </c>
      <c r="D234" s="1">
        <f t="shared" si="51"/>
        <v>33458</v>
      </c>
      <c r="E234">
        <f t="shared" si="52"/>
        <v>1991</v>
      </c>
      <c r="F234" s="13">
        <f t="shared" si="53"/>
        <v>220</v>
      </c>
      <c r="G234">
        <v>22.9</v>
      </c>
      <c r="H234">
        <v>4</v>
      </c>
      <c r="I234">
        <f t="shared" si="48"/>
        <v>7.9253263473510742</v>
      </c>
    </row>
    <row r="235" spans="1:9">
      <c r="A235" s="1">
        <v>33459</v>
      </c>
      <c r="B235">
        <f t="shared" si="49"/>
        <v>2905.5992975234985</v>
      </c>
      <c r="C235">
        <f t="shared" si="50"/>
        <v>16.460542678833008</v>
      </c>
      <c r="D235" s="1">
        <f t="shared" si="51"/>
        <v>33459</v>
      </c>
      <c r="E235">
        <f t="shared" si="52"/>
        <v>1991</v>
      </c>
      <c r="F235" s="13">
        <f t="shared" si="53"/>
        <v>221</v>
      </c>
      <c r="G235">
        <v>20.6</v>
      </c>
      <c r="H235">
        <v>5.5</v>
      </c>
      <c r="I235">
        <f t="shared" si="48"/>
        <v>7.438474178314209</v>
      </c>
    </row>
    <row r="236" spans="1:9">
      <c r="A236" s="1">
        <v>33460</v>
      </c>
      <c r="B236">
        <f t="shared" si="49"/>
        <v>2913.2786974906921</v>
      </c>
      <c r="C236">
        <f t="shared" si="50"/>
        <v>16.442617416381836</v>
      </c>
      <c r="D236" s="1">
        <f t="shared" si="51"/>
        <v>33460</v>
      </c>
      <c r="E236">
        <f t="shared" si="52"/>
        <v>1991</v>
      </c>
      <c r="F236" s="13">
        <f t="shared" si="53"/>
        <v>222</v>
      </c>
      <c r="G236">
        <v>21.9</v>
      </c>
      <c r="H236">
        <v>4.5999999999999996</v>
      </c>
      <c r="I236">
        <f t="shared" si="48"/>
        <v>7.6793999671936035</v>
      </c>
    </row>
    <row r="237" spans="1:9">
      <c r="A237" s="1">
        <v>33461</v>
      </c>
      <c r="B237">
        <f t="shared" si="49"/>
        <v>2920.8935589790344</v>
      </c>
      <c r="C237">
        <f t="shared" si="50"/>
        <v>16.42460823059082</v>
      </c>
      <c r="D237" s="1">
        <f t="shared" si="51"/>
        <v>33461</v>
      </c>
      <c r="E237">
        <f t="shared" si="52"/>
        <v>1991</v>
      </c>
      <c r="F237" s="13">
        <f t="shared" si="53"/>
        <v>223</v>
      </c>
      <c r="G237">
        <v>22.1</v>
      </c>
      <c r="H237">
        <v>4.0999999999999996</v>
      </c>
      <c r="I237">
        <f t="shared" si="48"/>
        <v>7.6148614883422852</v>
      </c>
    </row>
    <row r="238" spans="1:9">
      <c r="A238" s="1">
        <v>33462</v>
      </c>
      <c r="B238">
        <f t="shared" si="49"/>
        <v>2928.7250866889954</v>
      </c>
      <c r="C238">
        <f t="shared" si="50"/>
        <v>16.406534194946289</v>
      </c>
      <c r="D238" s="1">
        <f t="shared" si="51"/>
        <v>33462</v>
      </c>
      <c r="E238">
        <f t="shared" si="52"/>
        <v>1991</v>
      </c>
      <c r="F238" s="13">
        <f t="shared" si="53"/>
        <v>224</v>
      </c>
      <c r="G238">
        <v>22.4</v>
      </c>
      <c r="H238">
        <v>4.4000000000000004</v>
      </c>
      <c r="I238">
        <f t="shared" si="48"/>
        <v>7.8315277099609375</v>
      </c>
    </row>
    <row r="239" spans="1:9">
      <c r="A239" s="1">
        <v>33463</v>
      </c>
      <c r="B239">
        <f t="shared" si="49"/>
        <v>2937.2200665473938</v>
      </c>
      <c r="C239">
        <f t="shared" si="50"/>
        <v>16.388404846191406</v>
      </c>
      <c r="D239" s="1">
        <f t="shared" si="51"/>
        <v>33463</v>
      </c>
      <c r="E239">
        <f t="shared" si="52"/>
        <v>1991</v>
      </c>
      <c r="F239" s="13">
        <f t="shared" si="53"/>
        <v>225</v>
      </c>
      <c r="G239">
        <v>24.1</v>
      </c>
      <c r="H239">
        <v>4.2</v>
      </c>
      <c r="I239">
        <f t="shared" si="48"/>
        <v>8.4949798583984375</v>
      </c>
    </row>
    <row r="240" spans="1:9">
      <c r="A240" s="1">
        <v>33464</v>
      </c>
      <c r="B240">
        <f t="shared" si="49"/>
        <v>2946.7605519294739</v>
      </c>
      <c r="C240">
        <f t="shared" si="50"/>
        <v>16.370231628417969</v>
      </c>
      <c r="D240" s="1">
        <f t="shared" si="51"/>
        <v>33464</v>
      </c>
      <c r="E240">
        <f t="shared" si="52"/>
        <v>1991</v>
      </c>
      <c r="F240" s="13">
        <f t="shared" si="53"/>
        <v>226</v>
      </c>
      <c r="G240">
        <v>26</v>
      </c>
      <c r="H240">
        <v>5</v>
      </c>
      <c r="I240">
        <f t="shared" si="48"/>
        <v>9.5404853820800781</v>
      </c>
    </row>
    <row r="241" spans="1:9">
      <c r="A241" s="1">
        <v>33465</v>
      </c>
      <c r="B241">
        <f t="shared" si="49"/>
        <v>2956.9331288337708</v>
      </c>
      <c r="C241">
        <f t="shared" si="50"/>
        <v>16.352022171020508</v>
      </c>
      <c r="D241" s="1">
        <f t="shared" si="51"/>
        <v>33465</v>
      </c>
      <c r="E241">
        <f t="shared" si="52"/>
        <v>1991</v>
      </c>
      <c r="F241" s="13">
        <f t="shared" si="53"/>
        <v>227</v>
      </c>
      <c r="G241">
        <v>24.1</v>
      </c>
      <c r="H241">
        <v>9.8000000000000007</v>
      </c>
      <c r="I241">
        <f t="shared" si="48"/>
        <v>10.172576904296875</v>
      </c>
    </row>
    <row r="242" spans="1:9">
      <c r="A242" s="1">
        <v>33466</v>
      </c>
      <c r="B242">
        <f t="shared" si="49"/>
        <v>2965.9614701271057</v>
      </c>
      <c r="C242">
        <f t="shared" si="50"/>
        <v>16.333793640136719</v>
      </c>
      <c r="D242" s="1">
        <f t="shared" si="51"/>
        <v>33466</v>
      </c>
      <c r="E242">
        <f t="shared" si="52"/>
        <v>1991</v>
      </c>
      <c r="F242" s="13">
        <f t="shared" si="53"/>
        <v>228</v>
      </c>
      <c r="G242">
        <v>22.7</v>
      </c>
      <c r="H242">
        <v>8</v>
      </c>
      <c r="I242">
        <f t="shared" si="48"/>
        <v>9.0283412933349609</v>
      </c>
    </row>
    <row r="243" spans="1:9">
      <c r="A243" s="1">
        <v>33467</v>
      </c>
      <c r="B243">
        <f t="shared" si="49"/>
        <v>2974.8825602531433</v>
      </c>
      <c r="C243">
        <f t="shared" si="50"/>
        <v>16.315553665161133</v>
      </c>
      <c r="D243" s="1">
        <f t="shared" si="51"/>
        <v>33467</v>
      </c>
      <c r="E243">
        <f t="shared" si="52"/>
        <v>1991</v>
      </c>
      <c r="F243" s="13">
        <f t="shared" si="53"/>
        <v>229</v>
      </c>
      <c r="G243">
        <v>21.4</v>
      </c>
      <c r="H243">
        <v>9.5</v>
      </c>
      <c r="I243">
        <f t="shared" si="48"/>
        <v>8.9210901260375977</v>
      </c>
    </row>
    <row r="244" spans="1:9">
      <c r="A244" s="1">
        <v>33468</v>
      </c>
      <c r="B244">
        <f t="shared" si="49"/>
        <v>2983.6901717185974</v>
      </c>
      <c r="C244">
        <f t="shared" si="50"/>
        <v>16.297311782836914</v>
      </c>
      <c r="D244" s="1">
        <f t="shared" si="51"/>
        <v>33468</v>
      </c>
      <c r="E244">
        <f t="shared" si="52"/>
        <v>1991</v>
      </c>
      <c r="F244" s="13">
        <f t="shared" si="53"/>
        <v>230</v>
      </c>
      <c r="G244">
        <v>22.6</v>
      </c>
      <c r="H244">
        <v>7.4</v>
      </c>
      <c r="I244">
        <f t="shared" si="48"/>
        <v>8.8076114654541016</v>
      </c>
    </row>
    <row r="245" spans="1:9">
      <c r="A245" s="1">
        <v>33469</v>
      </c>
      <c r="B245">
        <f t="shared" si="49"/>
        <v>2991.8362259864807</v>
      </c>
      <c r="C245">
        <f t="shared" si="50"/>
        <v>16.279079437255859</v>
      </c>
      <c r="D245" s="1">
        <f t="shared" si="51"/>
        <v>33469</v>
      </c>
      <c r="E245">
        <f t="shared" si="52"/>
        <v>1991</v>
      </c>
      <c r="F245" s="13">
        <f t="shared" si="53"/>
        <v>231</v>
      </c>
      <c r="G245">
        <v>23</v>
      </c>
      <c r="H245">
        <v>4.5999999999999996</v>
      </c>
      <c r="I245">
        <f t="shared" si="48"/>
        <v>8.1460542678833008</v>
      </c>
    </row>
    <row r="246" spans="1:9">
      <c r="A246" s="1">
        <v>33470</v>
      </c>
      <c r="B246">
        <f t="shared" si="49"/>
        <v>3001.619017124176</v>
      </c>
      <c r="C246">
        <f t="shared" si="50"/>
        <v>16.260866165161133</v>
      </c>
      <c r="D246" s="1">
        <f t="shared" si="51"/>
        <v>33470</v>
      </c>
      <c r="E246">
        <f t="shared" si="52"/>
        <v>1991</v>
      </c>
      <c r="F246" s="13">
        <f t="shared" si="53"/>
        <v>232</v>
      </c>
      <c r="G246">
        <v>26.5</v>
      </c>
      <c r="H246">
        <v>5.0999999999999996</v>
      </c>
      <c r="I246">
        <f t="shared" si="48"/>
        <v>9.7827911376953125</v>
      </c>
    </row>
    <row r="247" spans="1:9">
      <c r="A247" s="1">
        <v>33471</v>
      </c>
      <c r="B247">
        <f t="shared" si="49"/>
        <v>3012.0172629356384</v>
      </c>
      <c r="C247">
        <f t="shared" si="50"/>
        <v>16.242681503295898</v>
      </c>
      <c r="D247" s="1">
        <f t="shared" si="51"/>
        <v>33471</v>
      </c>
      <c r="E247">
        <f t="shared" si="52"/>
        <v>1991</v>
      </c>
      <c r="F247" s="13">
        <f t="shared" si="53"/>
        <v>233</v>
      </c>
      <c r="G247">
        <v>25.5</v>
      </c>
      <c r="H247">
        <v>8.5</v>
      </c>
      <c r="I247">
        <f t="shared" si="48"/>
        <v>10.398245811462402</v>
      </c>
    </row>
    <row r="248" spans="1:9">
      <c r="A248" s="1">
        <v>33472</v>
      </c>
      <c r="B248">
        <f t="shared" si="49"/>
        <v>3021.2466511726379</v>
      </c>
      <c r="C248">
        <f t="shared" si="50"/>
        <v>16.224536895751953</v>
      </c>
      <c r="D248" s="1">
        <f t="shared" si="51"/>
        <v>33472</v>
      </c>
      <c r="E248">
        <f t="shared" si="52"/>
        <v>1991</v>
      </c>
      <c r="F248" s="13">
        <f t="shared" si="53"/>
        <v>234</v>
      </c>
      <c r="G248">
        <v>24.5</v>
      </c>
      <c r="H248">
        <v>6.1</v>
      </c>
      <c r="I248">
        <f t="shared" si="48"/>
        <v>9.2293882369995117</v>
      </c>
    </row>
    <row r="249" spans="1:9">
      <c r="A249" s="1">
        <v>33473</v>
      </c>
      <c r="B249">
        <f t="shared" si="49"/>
        <v>3030.5467286109924</v>
      </c>
      <c r="C249">
        <f t="shared" si="50"/>
        <v>16.206439971923828</v>
      </c>
      <c r="D249" s="1">
        <f t="shared" si="51"/>
        <v>33473</v>
      </c>
      <c r="E249">
        <f t="shared" si="52"/>
        <v>1991</v>
      </c>
      <c r="F249" s="13">
        <f t="shared" si="53"/>
        <v>235</v>
      </c>
      <c r="G249">
        <v>27.6</v>
      </c>
      <c r="H249">
        <v>1.9</v>
      </c>
      <c r="I249">
        <f t="shared" si="48"/>
        <v>9.3000774383544922</v>
      </c>
    </row>
    <row r="250" spans="1:9">
      <c r="A250" s="1">
        <v>33474</v>
      </c>
      <c r="B250">
        <f t="shared" si="49"/>
        <v>3037.2350091934204</v>
      </c>
      <c r="C250">
        <f t="shared" si="50"/>
        <v>16.188400268554688</v>
      </c>
      <c r="D250" s="1">
        <f t="shared" si="51"/>
        <v>33474</v>
      </c>
      <c r="E250">
        <f t="shared" si="52"/>
        <v>1991</v>
      </c>
      <c r="F250" s="13">
        <f t="shared" si="53"/>
        <v>236</v>
      </c>
      <c r="G250">
        <v>20.2</v>
      </c>
      <c r="H250">
        <v>3.4</v>
      </c>
      <c r="I250">
        <f t="shared" si="48"/>
        <v>6.6882805824279785</v>
      </c>
    </row>
    <row r="251" spans="1:9">
      <c r="A251" s="1">
        <v>33475</v>
      </c>
      <c r="B251">
        <f t="shared" si="49"/>
        <v>3044.9028267860413</v>
      </c>
      <c r="C251">
        <f t="shared" si="50"/>
        <v>16.170425415039063</v>
      </c>
      <c r="D251" s="1">
        <f t="shared" si="51"/>
        <v>33475</v>
      </c>
      <c r="E251">
        <f t="shared" si="52"/>
        <v>1991</v>
      </c>
      <c r="F251" s="13">
        <f t="shared" si="53"/>
        <v>237</v>
      </c>
      <c r="G251">
        <v>21.2</v>
      </c>
      <c r="H251">
        <v>5.5</v>
      </c>
      <c r="I251">
        <f t="shared" si="48"/>
        <v>7.6678175926208496</v>
      </c>
    </row>
    <row r="252" spans="1:9">
      <c r="A252" s="1">
        <v>33476</v>
      </c>
      <c r="B252">
        <f t="shared" si="49"/>
        <v>3051.4133706092834</v>
      </c>
      <c r="C252">
        <f t="shared" si="50"/>
        <v>16.152524948120117</v>
      </c>
      <c r="D252" s="1">
        <f t="shared" si="51"/>
        <v>33476</v>
      </c>
      <c r="E252">
        <f t="shared" si="52"/>
        <v>1991</v>
      </c>
      <c r="F252" s="13">
        <f t="shared" si="53"/>
        <v>238</v>
      </c>
      <c r="G252">
        <v>21</v>
      </c>
      <c r="H252">
        <v>1.7</v>
      </c>
      <c r="I252">
        <f t="shared" si="48"/>
        <v>6.5105438232421875</v>
      </c>
    </row>
    <row r="253" spans="1:9">
      <c r="A253" s="1">
        <v>33477</v>
      </c>
      <c r="B253">
        <f t="shared" si="49"/>
        <v>3059.6451001167297</v>
      </c>
      <c r="C253">
        <f t="shared" si="50"/>
        <v>16.134708404541016</v>
      </c>
      <c r="D253" s="1">
        <f t="shared" si="51"/>
        <v>33477</v>
      </c>
      <c r="E253">
        <f t="shared" si="52"/>
        <v>1991</v>
      </c>
      <c r="F253" s="13">
        <f t="shared" si="53"/>
        <v>239</v>
      </c>
      <c r="G253">
        <v>23.9</v>
      </c>
      <c r="H253">
        <v>3.6</v>
      </c>
      <c r="I253">
        <f t="shared" si="48"/>
        <v>8.2317295074462891</v>
      </c>
    </row>
    <row r="254" spans="1:9">
      <c r="A254" s="1">
        <v>33478</v>
      </c>
      <c r="B254">
        <f t="shared" si="49"/>
        <v>3070.7885947227478</v>
      </c>
      <c r="C254">
        <f t="shared" si="50"/>
        <v>16.116981506347656</v>
      </c>
      <c r="D254" s="1">
        <f t="shared" si="51"/>
        <v>33478</v>
      </c>
      <c r="E254">
        <f t="shared" si="52"/>
        <v>1991</v>
      </c>
      <c r="F254" s="13">
        <f t="shared" si="53"/>
        <v>240</v>
      </c>
      <c r="G254">
        <v>29.5</v>
      </c>
      <c r="H254">
        <v>5.0999999999999996</v>
      </c>
      <c r="I254">
        <f t="shared" si="48"/>
        <v>11.143494606018066</v>
      </c>
    </row>
    <row r="255" spans="1:9">
      <c r="A255" s="1">
        <v>33479</v>
      </c>
      <c r="B255">
        <f t="shared" si="49"/>
        <v>3084.1753106117249</v>
      </c>
      <c r="C255">
        <f t="shared" si="50"/>
        <v>16.09935188293457</v>
      </c>
      <c r="D255" s="1">
        <f t="shared" si="51"/>
        <v>33479</v>
      </c>
      <c r="E255">
        <f t="shared" si="52"/>
        <v>1991</v>
      </c>
      <c r="F255" s="13">
        <f t="shared" si="53"/>
        <v>241</v>
      </c>
      <c r="G255">
        <v>30.5</v>
      </c>
      <c r="H255">
        <v>10.6</v>
      </c>
      <c r="I255">
        <f t="shared" si="48"/>
        <v>13.386715888977051</v>
      </c>
    </row>
    <row r="256" spans="1:9">
      <c r="A256" s="1">
        <v>33480</v>
      </c>
      <c r="B256">
        <f t="shared" si="49"/>
        <v>3094.7401394844055</v>
      </c>
      <c r="C256">
        <f t="shared" si="50"/>
        <v>16.081827163696289</v>
      </c>
      <c r="D256" s="1">
        <f t="shared" si="51"/>
        <v>33480</v>
      </c>
      <c r="E256">
        <f t="shared" si="52"/>
        <v>1991</v>
      </c>
      <c r="F256" s="13">
        <f t="shared" si="53"/>
        <v>242</v>
      </c>
      <c r="G256">
        <v>23.7</v>
      </c>
      <c r="H256">
        <v>11.6</v>
      </c>
      <c r="I256">
        <f t="shared" si="48"/>
        <v>10.564828872680664</v>
      </c>
    </row>
    <row r="257" spans="1:9">
      <c r="A257" s="1">
        <v>33481</v>
      </c>
      <c r="B257">
        <f t="shared" si="49"/>
        <v>3105.0086283683777</v>
      </c>
      <c r="C257">
        <f t="shared" si="50"/>
        <v>16.064416885375977</v>
      </c>
      <c r="D257" s="1">
        <f t="shared" si="51"/>
        <v>33481</v>
      </c>
      <c r="E257">
        <f t="shared" si="52"/>
        <v>1991</v>
      </c>
      <c r="F257" s="13">
        <f t="shared" si="53"/>
        <v>243</v>
      </c>
      <c r="G257">
        <v>24.1</v>
      </c>
      <c r="H257">
        <v>10.1</v>
      </c>
      <c r="I257">
        <f t="shared" si="48"/>
        <v>10.268488883972168</v>
      </c>
    </row>
    <row r="258" spans="1:9">
      <c r="A258" s="1">
        <v>33482</v>
      </c>
      <c r="B258">
        <f t="shared" si="49"/>
        <v>3113.9106698036194</v>
      </c>
      <c r="C258">
        <f t="shared" si="50"/>
        <v>16.047124862670898</v>
      </c>
      <c r="D258" s="1">
        <f t="shared" si="51"/>
        <v>33482</v>
      </c>
      <c r="E258">
        <f t="shared" si="52"/>
        <v>1991</v>
      </c>
      <c r="F258" s="13">
        <f t="shared" si="53"/>
        <v>244</v>
      </c>
      <c r="G258">
        <v>23.8</v>
      </c>
      <c r="H258">
        <v>6</v>
      </c>
      <c r="I258">
        <f t="shared" si="48"/>
        <v>8.9020414352416992</v>
      </c>
    </row>
    <row r="259" spans="1:9">
      <c r="A259" s="1">
        <v>33483</v>
      </c>
      <c r="B259">
        <f t="shared" si="49"/>
        <v>3121.4720864295959</v>
      </c>
      <c r="C259">
        <f t="shared" si="50"/>
        <v>16.029960632324219</v>
      </c>
      <c r="D259" s="1">
        <f t="shared" si="51"/>
        <v>33483</v>
      </c>
      <c r="E259">
        <f t="shared" si="52"/>
        <v>1991</v>
      </c>
      <c r="F259" s="13">
        <f t="shared" si="53"/>
        <v>245</v>
      </c>
      <c r="G259">
        <v>24</v>
      </c>
      <c r="H259">
        <v>1.2</v>
      </c>
      <c r="I259">
        <f t="shared" si="48"/>
        <v>7.5614166259765625</v>
      </c>
    </row>
    <row r="260" spans="1:9">
      <c r="A260" s="1">
        <v>33484</v>
      </c>
      <c r="B260">
        <f t="shared" si="49"/>
        <v>3130.5373511314392</v>
      </c>
      <c r="C260">
        <f t="shared" si="50"/>
        <v>16.012928009033203</v>
      </c>
      <c r="D260" s="1">
        <f t="shared" si="51"/>
        <v>33484</v>
      </c>
      <c r="E260">
        <f t="shared" si="52"/>
        <v>1991</v>
      </c>
      <c r="F260" s="13">
        <f t="shared" si="53"/>
        <v>246</v>
      </c>
      <c r="G260">
        <v>26</v>
      </c>
      <c r="H260">
        <v>3.4</v>
      </c>
      <c r="I260">
        <f t="shared" si="48"/>
        <v>9.0652647018432617</v>
      </c>
    </row>
    <row r="261" spans="1:9">
      <c r="A261" s="1">
        <v>33485</v>
      </c>
      <c r="B261">
        <f t="shared" si="49"/>
        <v>3139.8011355400085</v>
      </c>
      <c r="C261">
        <f t="shared" si="50"/>
        <v>15.996035575866699</v>
      </c>
      <c r="D261" s="1">
        <f t="shared" si="51"/>
        <v>33485</v>
      </c>
      <c r="E261">
        <f t="shared" si="52"/>
        <v>1991</v>
      </c>
      <c r="F261" s="13">
        <f t="shared" si="53"/>
        <v>247</v>
      </c>
      <c r="G261">
        <v>25</v>
      </c>
      <c r="H261">
        <v>5.5</v>
      </c>
      <c r="I261">
        <f t="shared" si="48"/>
        <v>9.2637844085693359</v>
      </c>
    </row>
    <row r="262" spans="1:9">
      <c r="A262" s="1">
        <v>33486</v>
      </c>
      <c r="B262">
        <f t="shared" si="49"/>
        <v>3149.6183218955994</v>
      </c>
      <c r="C262">
        <f t="shared" si="50"/>
        <v>15.979288101196289</v>
      </c>
      <c r="D262" s="1">
        <f t="shared" si="51"/>
        <v>33486</v>
      </c>
      <c r="E262">
        <f t="shared" si="52"/>
        <v>1991</v>
      </c>
      <c r="F262" s="13">
        <f t="shared" si="53"/>
        <v>248</v>
      </c>
      <c r="G262">
        <v>27</v>
      </c>
      <c r="H262">
        <v>4.5</v>
      </c>
      <c r="I262">
        <f t="shared" si="48"/>
        <v>9.8171863555908203</v>
      </c>
    </row>
    <row r="263" spans="1:9">
      <c r="A263" s="1">
        <v>33487</v>
      </c>
      <c r="B263">
        <f t="shared" si="49"/>
        <v>3159.7679028511047</v>
      </c>
      <c r="C263">
        <f t="shared" si="50"/>
        <v>15.962689399719238</v>
      </c>
      <c r="D263" s="1">
        <f t="shared" si="51"/>
        <v>33487</v>
      </c>
      <c r="E263">
        <f t="shared" si="52"/>
        <v>1991</v>
      </c>
      <c r="F263" s="13">
        <f t="shared" si="53"/>
        <v>249</v>
      </c>
      <c r="G263">
        <v>27.4</v>
      </c>
      <c r="H263">
        <v>5</v>
      </c>
      <c r="I263">
        <f t="shared" si="48"/>
        <v>10.149580955505371</v>
      </c>
    </row>
    <row r="264" spans="1:9">
      <c r="A264" s="1">
        <v>33488</v>
      </c>
      <c r="B264">
        <f t="shared" si="49"/>
        <v>3170.0573344230652</v>
      </c>
      <c r="C264">
        <f t="shared" si="50"/>
        <v>15.946248054504395</v>
      </c>
      <c r="D264" s="1">
        <f t="shared" si="51"/>
        <v>33488</v>
      </c>
      <c r="E264">
        <f t="shared" si="52"/>
        <v>1991</v>
      </c>
      <c r="F264" s="13">
        <f t="shared" si="53"/>
        <v>250</v>
      </c>
      <c r="G264">
        <v>26.1</v>
      </c>
      <c r="H264">
        <v>7.3</v>
      </c>
      <c r="I264">
        <f t="shared" si="48"/>
        <v>10.289431571960449</v>
      </c>
    </row>
    <row r="265" spans="1:9">
      <c r="A265" s="1">
        <v>33489</v>
      </c>
      <c r="B265">
        <f t="shared" si="49"/>
        <v>3180.9241166114807</v>
      </c>
      <c r="C265">
        <f t="shared" si="50"/>
        <v>15.929967880249023</v>
      </c>
      <c r="D265" s="1">
        <f t="shared" si="51"/>
        <v>33489</v>
      </c>
      <c r="E265">
        <f t="shared" si="52"/>
        <v>1991</v>
      </c>
      <c r="F265" s="13">
        <f t="shared" si="53"/>
        <v>251</v>
      </c>
      <c r="G265">
        <v>27.5</v>
      </c>
      <c r="H265">
        <v>7.1</v>
      </c>
      <c r="I265">
        <f t="shared" si="48"/>
        <v>10.866782188415527</v>
      </c>
    </row>
    <row r="266" spans="1:9">
      <c r="A266" s="1">
        <v>33490</v>
      </c>
      <c r="B266">
        <f t="shared" si="49"/>
        <v>3193.4423689842224</v>
      </c>
      <c r="C266">
        <f t="shared" si="50"/>
        <v>15.913854598999023</v>
      </c>
      <c r="D266" s="1">
        <f t="shared" si="51"/>
        <v>33490</v>
      </c>
      <c r="E266">
        <f t="shared" si="52"/>
        <v>1991</v>
      </c>
      <c r="F266" s="13">
        <f t="shared" si="53"/>
        <v>252</v>
      </c>
      <c r="G266">
        <v>29.5</v>
      </c>
      <c r="H266">
        <v>9.4</v>
      </c>
      <c r="I266">
        <f t="shared" si="48"/>
        <v>12.518252372741699</v>
      </c>
    </row>
    <row r="267" spans="1:9">
      <c r="A267" s="1">
        <v>33491</v>
      </c>
      <c r="B267">
        <f t="shared" si="49"/>
        <v>3206.3814797401428</v>
      </c>
      <c r="C267">
        <f t="shared" si="50"/>
        <v>15.89791202545166</v>
      </c>
      <c r="D267" s="1">
        <f t="shared" si="51"/>
        <v>33491</v>
      </c>
      <c r="E267">
        <f t="shared" si="52"/>
        <v>1991</v>
      </c>
      <c r="F267" s="13">
        <f t="shared" si="53"/>
        <v>253</v>
      </c>
      <c r="G267">
        <v>30</v>
      </c>
      <c r="H267">
        <v>10</v>
      </c>
      <c r="I267">
        <f t="shared" si="48"/>
        <v>12.93911075592041</v>
      </c>
    </row>
    <row r="268" spans="1:9">
      <c r="A268" s="1">
        <v>33492</v>
      </c>
      <c r="B268">
        <f t="shared" si="49"/>
        <v>3218.5200428962708</v>
      </c>
      <c r="C268">
        <f t="shared" si="50"/>
        <v>15.882145881652832</v>
      </c>
      <c r="D268" s="1">
        <f t="shared" si="51"/>
        <v>33492</v>
      </c>
      <c r="E268">
        <f t="shared" si="52"/>
        <v>1991</v>
      </c>
      <c r="F268" s="13">
        <f t="shared" si="53"/>
        <v>254</v>
      </c>
      <c r="G268">
        <v>24</v>
      </c>
      <c r="H268">
        <v>15.9</v>
      </c>
      <c r="I268">
        <f t="shared" si="48"/>
        <v>12.13856315612793</v>
      </c>
    </row>
    <row r="269" spans="1:9">
      <c r="A269" s="1">
        <v>33493</v>
      </c>
      <c r="B269">
        <f t="shared" si="49"/>
        <v>3227.4836535453796</v>
      </c>
      <c r="C269">
        <f t="shared" si="50"/>
        <v>15.866559028625488</v>
      </c>
      <c r="D269" s="1">
        <f t="shared" si="51"/>
        <v>33493</v>
      </c>
      <c r="E269">
        <f t="shared" si="52"/>
        <v>1991</v>
      </c>
      <c r="F269" s="13">
        <f t="shared" si="53"/>
        <v>255</v>
      </c>
      <c r="G269">
        <v>21.5</v>
      </c>
      <c r="H269">
        <v>9.5</v>
      </c>
      <c r="I269">
        <f t="shared" si="48"/>
        <v>8.9636106491088867</v>
      </c>
    </row>
    <row r="270" spans="1:9">
      <c r="A270" s="1">
        <v>33494</v>
      </c>
      <c r="B270">
        <f t="shared" si="49"/>
        <v>3235.7782158851624</v>
      </c>
      <c r="C270">
        <f t="shared" si="50"/>
        <v>15.851155281066895</v>
      </c>
      <c r="D270" s="1">
        <f t="shared" si="51"/>
        <v>33494</v>
      </c>
      <c r="E270">
        <f t="shared" si="52"/>
        <v>1991</v>
      </c>
      <c r="F270" s="13">
        <f t="shared" si="53"/>
        <v>256</v>
      </c>
      <c r="G270">
        <v>23</v>
      </c>
      <c r="H270">
        <v>5.0999999999999996</v>
      </c>
      <c r="I270">
        <f t="shared" si="48"/>
        <v>8.2945623397827148</v>
      </c>
    </row>
    <row r="271" spans="1:9">
      <c r="A271" s="1">
        <v>33495</v>
      </c>
      <c r="B271">
        <f t="shared" si="49"/>
        <v>3244.6530842781067</v>
      </c>
      <c r="C271">
        <f t="shared" si="50"/>
        <v>15.835939407348633</v>
      </c>
      <c r="D271" s="1">
        <f t="shared" si="51"/>
        <v>33495</v>
      </c>
      <c r="E271">
        <f t="shared" si="52"/>
        <v>1991</v>
      </c>
      <c r="F271" s="13">
        <f t="shared" si="53"/>
        <v>257</v>
      </c>
      <c r="G271">
        <v>26.6</v>
      </c>
      <c r="H271">
        <v>1.9</v>
      </c>
      <c r="I271">
        <f t="shared" ref="I271:I334" si="54">tt(G271,H271,$C$6:$F$6,$C$7:$F$7)</f>
        <v>8.8748683929443359</v>
      </c>
    </row>
    <row r="272" spans="1:9">
      <c r="A272" s="1">
        <v>33496</v>
      </c>
      <c r="B272">
        <f t="shared" ref="B272:B335" si="55">B271+I272</f>
        <v>3256.4889130592346</v>
      </c>
      <c r="C272">
        <f t="shared" ref="C272:C335" si="56">day_length(F272,$I$7,$C$13)</f>
        <v>15.820916175842285</v>
      </c>
      <c r="D272" s="1">
        <f t="shared" ref="D272:D335" si="57">A272</f>
        <v>33496</v>
      </c>
      <c r="E272">
        <f t="shared" ref="E272:E335" si="58">YEAR(A272)</f>
        <v>1991</v>
      </c>
      <c r="F272" s="13">
        <f t="shared" ref="F272:F335" si="59">A272-DATE(E272,1,1)+1</f>
        <v>258</v>
      </c>
      <c r="G272">
        <v>31.5</v>
      </c>
      <c r="H272">
        <v>4.4000000000000004</v>
      </c>
      <c r="I272">
        <f t="shared" si="54"/>
        <v>11.83582878112793</v>
      </c>
    </row>
    <row r="273" spans="1:9">
      <c r="A273" s="1">
        <v>33497</v>
      </c>
      <c r="B273">
        <f t="shared" si="55"/>
        <v>3270.8384804725647</v>
      </c>
      <c r="C273">
        <f t="shared" si="56"/>
        <v>15.806086540222168</v>
      </c>
      <c r="D273" s="1">
        <f t="shared" si="57"/>
        <v>33497</v>
      </c>
      <c r="E273">
        <f t="shared" si="58"/>
        <v>1991</v>
      </c>
      <c r="F273" s="13">
        <f t="shared" si="59"/>
        <v>259</v>
      </c>
      <c r="G273">
        <v>32.799999999999997</v>
      </c>
      <c r="H273">
        <v>10.199999999999999</v>
      </c>
      <c r="I273">
        <f t="shared" si="54"/>
        <v>14.349567413330078</v>
      </c>
    </row>
    <row r="274" spans="1:9">
      <c r="A274" s="1">
        <v>33498</v>
      </c>
      <c r="B274">
        <f t="shared" si="55"/>
        <v>3283.6592411994934</v>
      </c>
      <c r="C274">
        <f t="shared" si="56"/>
        <v>15.791457176208496</v>
      </c>
      <c r="D274" s="1">
        <f t="shared" si="57"/>
        <v>33498</v>
      </c>
      <c r="E274">
        <f t="shared" si="58"/>
        <v>1991</v>
      </c>
      <c r="F274" s="13">
        <f t="shared" si="59"/>
        <v>260</v>
      </c>
      <c r="G274">
        <v>30.3</v>
      </c>
      <c r="H274">
        <v>9.1999999999999993</v>
      </c>
      <c r="I274">
        <f t="shared" si="54"/>
        <v>12.820760726928711</v>
      </c>
    </row>
    <row r="275" spans="1:9">
      <c r="A275" s="1">
        <v>33499</v>
      </c>
      <c r="B275">
        <f t="shared" si="55"/>
        <v>3293.7162747383118</v>
      </c>
      <c r="C275">
        <f t="shared" si="56"/>
        <v>15.77702808380127</v>
      </c>
      <c r="D275" s="1">
        <f t="shared" si="57"/>
        <v>33499</v>
      </c>
      <c r="E275">
        <f t="shared" si="58"/>
        <v>1991</v>
      </c>
      <c r="F275" s="13">
        <f t="shared" si="59"/>
        <v>261</v>
      </c>
      <c r="G275">
        <v>26.5</v>
      </c>
      <c r="H275">
        <v>6</v>
      </c>
      <c r="I275">
        <f t="shared" si="54"/>
        <v>10.057033538818359</v>
      </c>
    </row>
    <row r="276" spans="1:9">
      <c r="A276" s="1">
        <v>33500</v>
      </c>
      <c r="B276">
        <f t="shared" si="55"/>
        <v>3305.3875699043274</v>
      </c>
      <c r="C276">
        <f t="shared" si="56"/>
        <v>15.762803077697754</v>
      </c>
      <c r="D276" s="1">
        <f t="shared" si="57"/>
        <v>33500</v>
      </c>
      <c r="E276">
        <f t="shared" si="58"/>
        <v>1991</v>
      </c>
      <c r="F276" s="13">
        <f t="shared" si="59"/>
        <v>262</v>
      </c>
      <c r="G276">
        <v>28</v>
      </c>
      <c r="H276">
        <v>8.9</v>
      </c>
      <c r="I276">
        <f t="shared" si="54"/>
        <v>11.671295166015625</v>
      </c>
    </row>
    <row r="277" spans="1:9">
      <c r="A277" s="1">
        <v>33501</v>
      </c>
      <c r="B277">
        <f t="shared" si="55"/>
        <v>3317.2669568061829</v>
      </c>
      <c r="C277">
        <f t="shared" si="56"/>
        <v>15.748784065246582</v>
      </c>
      <c r="D277" s="1">
        <f t="shared" si="57"/>
        <v>33501</v>
      </c>
      <c r="E277">
        <f t="shared" si="58"/>
        <v>1991</v>
      </c>
      <c r="F277" s="13">
        <f t="shared" si="59"/>
        <v>263</v>
      </c>
      <c r="G277">
        <v>26.5</v>
      </c>
      <c r="H277">
        <v>11.7</v>
      </c>
      <c r="I277">
        <f t="shared" si="54"/>
        <v>11.879386901855469</v>
      </c>
    </row>
    <row r="278" spans="1:9">
      <c r="A278" s="1">
        <v>33502</v>
      </c>
      <c r="B278">
        <f t="shared" si="55"/>
        <v>3327.6698784828186</v>
      </c>
      <c r="C278">
        <f t="shared" si="56"/>
        <v>15.734976768493652</v>
      </c>
      <c r="D278" s="1">
        <f t="shared" si="57"/>
        <v>33502</v>
      </c>
      <c r="E278">
        <f t="shared" si="58"/>
        <v>1991</v>
      </c>
      <c r="F278" s="13">
        <f t="shared" si="59"/>
        <v>264</v>
      </c>
      <c r="G278">
        <v>29</v>
      </c>
      <c r="H278">
        <v>3.5</v>
      </c>
      <c r="I278">
        <f t="shared" si="54"/>
        <v>10.402921676635742</v>
      </c>
    </row>
    <row r="279" spans="1:9">
      <c r="A279" s="1">
        <v>33503</v>
      </c>
      <c r="B279">
        <f t="shared" si="55"/>
        <v>3338.6673512458801</v>
      </c>
      <c r="C279">
        <f t="shared" si="56"/>
        <v>15.721378326416016</v>
      </c>
      <c r="D279" s="1">
        <f t="shared" si="57"/>
        <v>33503</v>
      </c>
      <c r="E279">
        <f t="shared" si="58"/>
        <v>1991</v>
      </c>
      <c r="F279" s="13">
        <f t="shared" si="59"/>
        <v>265</v>
      </c>
      <c r="G279">
        <v>29.6</v>
      </c>
      <c r="H279">
        <v>4.5</v>
      </c>
      <c r="I279">
        <f t="shared" si="54"/>
        <v>10.997472763061523</v>
      </c>
    </row>
    <row r="280" spans="1:9">
      <c r="A280" s="1">
        <v>33504</v>
      </c>
      <c r="B280">
        <f t="shared" si="55"/>
        <v>3350.1225113868713</v>
      </c>
      <c r="C280">
        <f t="shared" si="56"/>
        <v>15.70799446105957</v>
      </c>
      <c r="D280" s="1">
        <f t="shared" si="57"/>
        <v>33504</v>
      </c>
      <c r="E280">
        <f t="shared" si="58"/>
        <v>1991</v>
      </c>
      <c r="F280" s="13">
        <f t="shared" si="59"/>
        <v>266</v>
      </c>
      <c r="G280">
        <v>26.9</v>
      </c>
      <c r="H280">
        <v>9.8000000000000007</v>
      </c>
      <c r="I280">
        <f t="shared" si="54"/>
        <v>11.455160140991211</v>
      </c>
    </row>
    <row r="281" spans="1:9">
      <c r="A281" s="1">
        <v>33505</v>
      </c>
      <c r="B281">
        <f t="shared" si="55"/>
        <v>3364.7257189750671</v>
      </c>
      <c r="C281">
        <f t="shared" si="56"/>
        <v>15.694828033447266</v>
      </c>
      <c r="D281" s="1">
        <f t="shared" si="57"/>
        <v>33505</v>
      </c>
      <c r="E281">
        <f t="shared" si="58"/>
        <v>1991</v>
      </c>
      <c r="F281" s="13">
        <f t="shared" si="59"/>
        <v>267</v>
      </c>
      <c r="G281">
        <v>30.9</v>
      </c>
      <c r="H281">
        <v>13.5</v>
      </c>
      <c r="I281">
        <f t="shared" si="54"/>
        <v>14.603207588195801</v>
      </c>
    </row>
    <row r="282" spans="1:9">
      <c r="A282" s="1">
        <v>33506</v>
      </c>
      <c r="B282">
        <f t="shared" si="55"/>
        <v>3378.9784541130066</v>
      </c>
      <c r="C282">
        <f t="shared" si="56"/>
        <v>15.681876182556152</v>
      </c>
      <c r="D282" s="1">
        <f t="shared" si="57"/>
        <v>33506</v>
      </c>
      <c r="E282">
        <f t="shared" si="58"/>
        <v>1991</v>
      </c>
      <c r="F282" s="13">
        <f t="shared" si="59"/>
        <v>268</v>
      </c>
      <c r="G282">
        <v>27</v>
      </c>
      <c r="H282">
        <v>17.5</v>
      </c>
      <c r="I282">
        <f t="shared" si="54"/>
        <v>14.252735137939453</v>
      </c>
    </row>
    <row r="283" spans="1:9">
      <c r="A283" s="1">
        <v>33507</v>
      </c>
      <c r="B283">
        <f t="shared" si="55"/>
        <v>3393.6785731315613</v>
      </c>
      <c r="C283">
        <f t="shared" si="56"/>
        <v>15.669144630432129</v>
      </c>
      <c r="D283" s="1">
        <f t="shared" si="57"/>
        <v>33507</v>
      </c>
      <c r="E283">
        <f t="shared" si="58"/>
        <v>1991</v>
      </c>
      <c r="F283" s="13">
        <f t="shared" si="59"/>
        <v>269</v>
      </c>
      <c r="G283">
        <v>32.5</v>
      </c>
      <c r="H283">
        <v>11.6</v>
      </c>
      <c r="I283">
        <f t="shared" si="54"/>
        <v>14.700119018554688</v>
      </c>
    </row>
    <row r="284" spans="1:9">
      <c r="A284" s="1">
        <v>33508</v>
      </c>
      <c r="B284">
        <f t="shared" si="55"/>
        <v>3409.7699961662292</v>
      </c>
      <c r="C284">
        <f t="shared" si="56"/>
        <v>15.656631469726563</v>
      </c>
      <c r="D284" s="1">
        <f t="shared" si="57"/>
        <v>33508</v>
      </c>
      <c r="E284">
        <f t="shared" si="58"/>
        <v>1991</v>
      </c>
      <c r="F284" s="13">
        <f t="shared" si="59"/>
        <v>270</v>
      </c>
      <c r="G284">
        <v>34</v>
      </c>
      <c r="H284">
        <v>13.5</v>
      </c>
      <c r="I284">
        <f t="shared" si="54"/>
        <v>16.091423034667969</v>
      </c>
    </row>
    <row r="285" spans="1:9">
      <c r="A285" s="1">
        <v>33509</v>
      </c>
      <c r="B285">
        <f t="shared" si="55"/>
        <v>3426.3220438957214</v>
      </c>
      <c r="C285">
        <f t="shared" si="56"/>
        <v>15.644340515136719</v>
      </c>
      <c r="D285" s="1">
        <f t="shared" si="57"/>
        <v>33509</v>
      </c>
      <c r="E285">
        <f t="shared" si="58"/>
        <v>1991</v>
      </c>
      <c r="F285" s="13">
        <f t="shared" si="59"/>
        <v>271</v>
      </c>
      <c r="G285">
        <v>32.6</v>
      </c>
      <c r="H285">
        <v>16.399999999999999</v>
      </c>
      <c r="I285">
        <f t="shared" si="54"/>
        <v>16.552047729492187</v>
      </c>
    </row>
    <row r="286" spans="1:9">
      <c r="A286" s="1">
        <v>33510</v>
      </c>
      <c r="B286">
        <f t="shared" si="55"/>
        <v>3440.3582100868225</v>
      </c>
      <c r="C286">
        <f t="shared" si="56"/>
        <v>15.632271766662598</v>
      </c>
      <c r="D286" s="1">
        <f t="shared" si="57"/>
        <v>33510</v>
      </c>
      <c r="E286">
        <f t="shared" si="58"/>
        <v>1991</v>
      </c>
      <c r="F286" s="13">
        <f t="shared" si="59"/>
        <v>272</v>
      </c>
      <c r="G286">
        <v>32</v>
      </c>
      <c r="H286">
        <v>10.4</v>
      </c>
      <c r="I286">
        <f t="shared" si="54"/>
        <v>14.036166191101074</v>
      </c>
    </row>
    <row r="287" spans="1:9">
      <c r="A287" s="1">
        <v>33511</v>
      </c>
      <c r="B287">
        <f t="shared" si="55"/>
        <v>3454.7023491859436</v>
      </c>
      <c r="C287">
        <f t="shared" si="56"/>
        <v>15.620428085327148</v>
      </c>
      <c r="D287" s="1">
        <f t="shared" si="57"/>
        <v>33511</v>
      </c>
      <c r="E287">
        <f t="shared" si="58"/>
        <v>1991</v>
      </c>
      <c r="F287" s="13">
        <f t="shared" si="59"/>
        <v>273</v>
      </c>
      <c r="G287">
        <v>32.200000000000003</v>
      </c>
      <c r="H287">
        <v>11</v>
      </c>
      <c r="I287">
        <f t="shared" si="54"/>
        <v>14.344139099121094</v>
      </c>
    </row>
    <row r="288" spans="1:9">
      <c r="A288" s="1">
        <v>33512</v>
      </c>
      <c r="B288">
        <f t="shared" si="55"/>
        <v>3467.8997521400452</v>
      </c>
      <c r="C288">
        <f t="shared" si="56"/>
        <v>15.608807563781738</v>
      </c>
      <c r="D288" s="1">
        <f t="shared" si="57"/>
        <v>33512</v>
      </c>
      <c r="E288">
        <f t="shared" si="58"/>
        <v>1991</v>
      </c>
      <c r="F288" s="13">
        <f t="shared" si="59"/>
        <v>274</v>
      </c>
      <c r="G288">
        <v>30.4</v>
      </c>
      <c r="H288">
        <v>10.199999999999999</v>
      </c>
      <c r="I288">
        <f t="shared" si="54"/>
        <v>13.197402954101562</v>
      </c>
    </row>
    <row r="289" spans="1:9">
      <c r="A289" s="1">
        <v>33513</v>
      </c>
      <c r="B289">
        <f t="shared" si="55"/>
        <v>3481.9866414070129</v>
      </c>
      <c r="C289">
        <f t="shared" si="56"/>
        <v>15.597411155700684</v>
      </c>
      <c r="D289" s="1">
        <f t="shared" si="57"/>
        <v>33513</v>
      </c>
      <c r="E289">
        <f t="shared" si="58"/>
        <v>1991</v>
      </c>
      <c r="F289" s="13">
        <f t="shared" si="59"/>
        <v>275</v>
      </c>
      <c r="G289">
        <v>32.4</v>
      </c>
      <c r="H289">
        <v>10</v>
      </c>
      <c r="I289">
        <f t="shared" si="54"/>
        <v>14.086889266967773</v>
      </c>
    </row>
    <row r="290" spans="1:9">
      <c r="A290" s="1">
        <v>33514</v>
      </c>
      <c r="B290">
        <f t="shared" si="55"/>
        <v>3495.8479962348938</v>
      </c>
      <c r="C290">
        <f t="shared" si="56"/>
        <v>15.586240768432617</v>
      </c>
      <c r="D290" s="1">
        <f t="shared" si="57"/>
        <v>33514</v>
      </c>
      <c r="E290">
        <f t="shared" si="58"/>
        <v>1991</v>
      </c>
      <c r="F290" s="13">
        <f t="shared" si="59"/>
        <v>276</v>
      </c>
      <c r="G290">
        <v>30.9</v>
      </c>
      <c r="H290">
        <v>11.4</v>
      </c>
      <c r="I290">
        <f t="shared" si="54"/>
        <v>13.861354827880859</v>
      </c>
    </row>
    <row r="291" spans="1:9">
      <c r="A291" s="1">
        <v>33515</v>
      </c>
      <c r="B291">
        <f t="shared" si="55"/>
        <v>3509.9104495048523</v>
      </c>
      <c r="C291">
        <f t="shared" si="56"/>
        <v>15.57529354095459</v>
      </c>
      <c r="D291" s="1">
        <f t="shared" si="57"/>
        <v>33515</v>
      </c>
      <c r="E291">
        <f t="shared" si="58"/>
        <v>1991</v>
      </c>
      <c r="F291" s="13">
        <f t="shared" si="59"/>
        <v>277</v>
      </c>
      <c r="G291">
        <v>29.7</v>
      </c>
      <c r="H291">
        <v>13.6</v>
      </c>
      <c r="I291">
        <f t="shared" si="54"/>
        <v>14.062453269958496</v>
      </c>
    </row>
    <row r="292" spans="1:9">
      <c r="A292" s="1">
        <v>33516</v>
      </c>
      <c r="B292">
        <f t="shared" si="55"/>
        <v>3523.5960946083069</v>
      </c>
      <c r="C292">
        <f t="shared" si="56"/>
        <v>15.564573287963867</v>
      </c>
      <c r="D292" s="1">
        <f t="shared" si="57"/>
        <v>33516</v>
      </c>
      <c r="E292">
        <f t="shared" si="58"/>
        <v>1991</v>
      </c>
      <c r="F292" s="13">
        <f t="shared" si="59"/>
        <v>278</v>
      </c>
      <c r="G292">
        <v>28.4</v>
      </c>
      <c r="H292">
        <v>14.3</v>
      </c>
      <c r="I292">
        <f t="shared" si="54"/>
        <v>13.68564510345459</v>
      </c>
    </row>
    <row r="293" spans="1:9">
      <c r="A293" s="1">
        <v>33517</v>
      </c>
      <c r="B293">
        <f t="shared" si="55"/>
        <v>3536.5453171730042</v>
      </c>
      <c r="C293">
        <f t="shared" si="56"/>
        <v>15.554078102111816</v>
      </c>
      <c r="D293" s="1">
        <f t="shared" si="57"/>
        <v>33517</v>
      </c>
      <c r="E293">
        <f t="shared" si="58"/>
        <v>1991</v>
      </c>
      <c r="F293" s="13">
        <f t="shared" si="59"/>
        <v>279</v>
      </c>
      <c r="G293">
        <v>29</v>
      </c>
      <c r="H293">
        <v>11.4</v>
      </c>
      <c r="I293">
        <f t="shared" si="54"/>
        <v>12.949222564697266</v>
      </c>
    </row>
    <row r="294" spans="1:9">
      <c r="A294" s="1">
        <v>33518</v>
      </c>
      <c r="B294">
        <f t="shared" si="55"/>
        <v>3551.0361924171448</v>
      </c>
      <c r="C294">
        <f t="shared" si="56"/>
        <v>15.543807983398438</v>
      </c>
      <c r="D294" s="1">
        <f t="shared" si="57"/>
        <v>33518</v>
      </c>
      <c r="E294">
        <f t="shared" si="58"/>
        <v>1991</v>
      </c>
      <c r="F294" s="13">
        <f t="shared" si="59"/>
        <v>280</v>
      </c>
      <c r="G294">
        <v>32.799999999999997</v>
      </c>
      <c r="H294">
        <v>10.6</v>
      </c>
      <c r="I294">
        <f t="shared" si="54"/>
        <v>14.490875244140625</v>
      </c>
    </row>
    <row r="295" spans="1:9">
      <c r="A295" s="1">
        <v>33519</v>
      </c>
      <c r="B295">
        <f t="shared" si="55"/>
        <v>3567.0343594551086</v>
      </c>
      <c r="C295">
        <f t="shared" si="56"/>
        <v>15.53376293182373</v>
      </c>
      <c r="D295" s="1">
        <f t="shared" si="57"/>
        <v>33519</v>
      </c>
      <c r="E295">
        <f t="shared" si="58"/>
        <v>1991</v>
      </c>
      <c r="F295" s="13">
        <f t="shared" si="59"/>
        <v>281</v>
      </c>
      <c r="G295">
        <v>32.200000000000003</v>
      </c>
      <c r="H295">
        <v>15.5</v>
      </c>
      <c r="I295">
        <f t="shared" si="54"/>
        <v>15.998167037963867</v>
      </c>
    </row>
    <row r="296" spans="1:9">
      <c r="A296" s="1">
        <v>33520</v>
      </c>
      <c r="B296">
        <f t="shared" si="55"/>
        <v>3582.9039731025696</v>
      </c>
      <c r="C296">
        <f t="shared" si="56"/>
        <v>15.523941993713379</v>
      </c>
      <c r="D296" s="1">
        <f t="shared" si="57"/>
        <v>33520</v>
      </c>
      <c r="E296">
        <f t="shared" si="58"/>
        <v>1991</v>
      </c>
      <c r="F296" s="13">
        <f t="shared" si="59"/>
        <v>282</v>
      </c>
      <c r="G296">
        <v>32.1</v>
      </c>
      <c r="H296">
        <v>15.3</v>
      </c>
      <c r="I296">
        <f t="shared" si="54"/>
        <v>15.869613647460938</v>
      </c>
    </row>
    <row r="297" spans="1:9">
      <c r="A297" s="1">
        <v>33521</v>
      </c>
      <c r="B297">
        <f t="shared" si="55"/>
        <v>3595.7309250831604</v>
      </c>
      <c r="C297">
        <f t="shared" si="56"/>
        <v>15.514345169067383</v>
      </c>
      <c r="D297" s="1">
        <f t="shared" si="57"/>
        <v>33521</v>
      </c>
      <c r="E297">
        <f t="shared" si="58"/>
        <v>1991</v>
      </c>
      <c r="F297" s="13">
        <f t="shared" si="59"/>
        <v>283</v>
      </c>
      <c r="G297">
        <v>27.2</v>
      </c>
      <c r="H297">
        <v>13.5</v>
      </c>
      <c r="I297">
        <f t="shared" si="54"/>
        <v>12.82695198059082</v>
      </c>
    </row>
    <row r="298" spans="1:9">
      <c r="A298" s="1">
        <v>33522</v>
      </c>
      <c r="B298">
        <f t="shared" si="55"/>
        <v>3609.2272582054138</v>
      </c>
      <c r="C298">
        <f t="shared" si="56"/>
        <v>15.504970550537109</v>
      </c>
      <c r="D298" s="1">
        <f t="shared" si="57"/>
        <v>33522</v>
      </c>
      <c r="E298">
        <f t="shared" si="58"/>
        <v>1991</v>
      </c>
      <c r="F298" s="13">
        <f t="shared" si="59"/>
        <v>284</v>
      </c>
      <c r="G298">
        <v>28.3</v>
      </c>
      <c r="H298">
        <v>13.9</v>
      </c>
      <c r="I298">
        <f t="shared" si="54"/>
        <v>13.496333122253418</v>
      </c>
    </row>
    <row r="299" spans="1:9">
      <c r="A299" s="1">
        <v>33523</v>
      </c>
      <c r="B299">
        <f t="shared" si="55"/>
        <v>3624.1740345954895</v>
      </c>
      <c r="C299">
        <f t="shared" si="56"/>
        <v>15.495819091796875</v>
      </c>
      <c r="D299" s="1">
        <f t="shared" si="57"/>
        <v>33523</v>
      </c>
      <c r="E299">
        <f t="shared" si="58"/>
        <v>1991</v>
      </c>
      <c r="F299" s="13">
        <f t="shared" si="59"/>
        <v>285</v>
      </c>
      <c r="G299">
        <v>29.5</v>
      </c>
      <c r="H299">
        <v>16.2</v>
      </c>
      <c r="I299">
        <f t="shared" si="54"/>
        <v>14.946776390075684</v>
      </c>
    </row>
    <row r="300" spans="1:9">
      <c r="A300" s="1">
        <v>33524</v>
      </c>
      <c r="B300">
        <f t="shared" si="55"/>
        <v>3639.3614726066589</v>
      </c>
      <c r="C300">
        <f t="shared" si="56"/>
        <v>15.486888885498047</v>
      </c>
      <c r="D300" s="1">
        <f t="shared" si="57"/>
        <v>33524</v>
      </c>
      <c r="E300">
        <f t="shared" si="58"/>
        <v>1991</v>
      </c>
      <c r="F300" s="13">
        <f t="shared" si="59"/>
        <v>286</v>
      </c>
      <c r="G300">
        <v>33</v>
      </c>
      <c r="H300">
        <v>12.3</v>
      </c>
      <c r="I300">
        <f t="shared" si="54"/>
        <v>15.187438011169434</v>
      </c>
    </row>
    <row r="301" spans="1:9">
      <c r="A301" s="1">
        <v>33525</v>
      </c>
      <c r="B301">
        <f t="shared" si="55"/>
        <v>3653.8251957893372</v>
      </c>
      <c r="C301">
        <f t="shared" si="56"/>
        <v>15.478178024291992</v>
      </c>
      <c r="D301" s="1">
        <f t="shared" si="57"/>
        <v>33525</v>
      </c>
      <c r="E301">
        <f t="shared" si="58"/>
        <v>1991</v>
      </c>
      <c r="F301" s="13">
        <f t="shared" si="59"/>
        <v>287</v>
      </c>
      <c r="G301">
        <v>29.8</v>
      </c>
      <c r="H301">
        <v>14.6</v>
      </c>
      <c r="I301">
        <f t="shared" si="54"/>
        <v>14.463723182678223</v>
      </c>
    </row>
    <row r="302" spans="1:9">
      <c r="A302" s="1">
        <v>33526</v>
      </c>
      <c r="B302">
        <f t="shared" si="55"/>
        <v>3670.8751950263977</v>
      </c>
      <c r="C302">
        <f t="shared" si="56"/>
        <v>15.469686508178711</v>
      </c>
      <c r="D302" s="1">
        <f t="shared" si="57"/>
        <v>33526</v>
      </c>
      <c r="E302">
        <f t="shared" si="58"/>
        <v>1991</v>
      </c>
      <c r="F302" s="13">
        <f t="shared" si="59"/>
        <v>288</v>
      </c>
      <c r="G302">
        <v>31</v>
      </c>
      <c r="H302">
        <v>19.100000000000001</v>
      </c>
      <c r="I302">
        <f t="shared" si="54"/>
        <v>17.049999237060547</v>
      </c>
    </row>
    <row r="303" spans="1:9">
      <c r="A303" s="1">
        <v>33527</v>
      </c>
      <c r="B303">
        <f t="shared" si="55"/>
        <v>3688.2858891487122</v>
      </c>
      <c r="C303">
        <f t="shared" si="56"/>
        <v>15.461411476135254</v>
      </c>
      <c r="D303" s="1">
        <f t="shared" si="57"/>
        <v>33527</v>
      </c>
      <c r="E303">
        <f t="shared" si="58"/>
        <v>1991</v>
      </c>
      <c r="F303" s="13">
        <f t="shared" si="59"/>
        <v>289</v>
      </c>
      <c r="G303">
        <v>36.9</v>
      </c>
      <c r="H303">
        <v>14.2</v>
      </c>
      <c r="I303">
        <f t="shared" si="54"/>
        <v>17.410694122314453</v>
      </c>
    </row>
    <row r="304" spans="1:9">
      <c r="A304" s="1">
        <v>33528</v>
      </c>
      <c r="B304">
        <f t="shared" si="55"/>
        <v>3702.6926321983337</v>
      </c>
      <c r="C304">
        <f t="shared" si="56"/>
        <v>15.453353881835938</v>
      </c>
      <c r="D304" s="1">
        <f t="shared" si="57"/>
        <v>33528</v>
      </c>
      <c r="E304">
        <f t="shared" si="58"/>
        <v>1991</v>
      </c>
      <c r="F304" s="13">
        <f t="shared" si="59"/>
        <v>290</v>
      </c>
      <c r="G304">
        <v>28</v>
      </c>
      <c r="H304">
        <v>16.7</v>
      </c>
      <c r="I304">
        <f t="shared" si="54"/>
        <v>14.406743049621582</v>
      </c>
    </row>
    <row r="305" spans="1:9">
      <c r="A305" s="1">
        <v>33529</v>
      </c>
      <c r="B305">
        <f t="shared" si="55"/>
        <v>3713.887348651886</v>
      </c>
      <c r="C305">
        <f t="shared" si="56"/>
        <v>15.445510864257813</v>
      </c>
      <c r="D305" s="1">
        <f t="shared" si="57"/>
        <v>33529</v>
      </c>
      <c r="E305">
        <f t="shared" si="58"/>
        <v>1991</v>
      </c>
      <c r="F305" s="13">
        <f t="shared" si="59"/>
        <v>291</v>
      </c>
      <c r="G305">
        <v>23.4</v>
      </c>
      <c r="H305">
        <v>14</v>
      </c>
      <c r="I305">
        <f t="shared" si="54"/>
        <v>11.194716453552246</v>
      </c>
    </row>
    <row r="306" spans="1:9">
      <c r="A306" s="1">
        <v>33530</v>
      </c>
      <c r="B306">
        <f t="shared" si="55"/>
        <v>3725.5066657066345</v>
      </c>
      <c r="C306">
        <f t="shared" si="56"/>
        <v>15.437881469726563</v>
      </c>
      <c r="D306" s="1">
        <f t="shared" si="57"/>
        <v>33530</v>
      </c>
      <c r="E306">
        <f t="shared" si="58"/>
        <v>1991</v>
      </c>
      <c r="F306" s="13">
        <f t="shared" si="59"/>
        <v>292</v>
      </c>
      <c r="G306">
        <v>26.7</v>
      </c>
      <c r="H306">
        <v>10.6</v>
      </c>
      <c r="I306">
        <f t="shared" si="54"/>
        <v>11.619317054748535</v>
      </c>
    </row>
    <row r="307" spans="1:9">
      <c r="A307" s="1">
        <v>33531</v>
      </c>
      <c r="B307">
        <f t="shared" si="55"/>
        <v>3738.6750950813293</v>
      </c>
      <c r="C307">
        <f t="shared" si="56"/>
        <v>15.430460929870605</v>
      </c>
      <c r="D307" s="1">
        <f t="shared" si="57"/>
        <v>33531</v>
      </c>
      <c r="E307">
        <f t="shared" si="58"/>
        <v>1991</v>
      </c>
      <c r="F307" s="13">
        <f t="shared" si="59"/>
        <v>293</v>
      </c>
      <c r="G307">
        <v>28.5</v>
      </c>
      <c r="H307">
        <v>12.7</v>
      </c>
      <c r="I307">
        <f t="shared" si="54"/>
        <v>13.168429374694824</v>
      </c>
    </row>
    <row r="308" spans="1:9">
      <c r="A308" s="1">
        <v>33532</v>
      </c>
      <c r="B308">
        <f t="shared" si="55"/>
        <v>3753.8761210441589</v>
      </c>
      <c r="C308">
        <f t="shared" si="56"/>
        <v>15.423250198364258</v>
      </c>
      <c r="D308" s="1">
        <f t="shared" si="57"/>
        <v>33532</v>
      </c>
      <c r="E308">
        <f t="shared" si="58"/>
        <v>1991</v>
      </c>
      <c r="F308" s="13">
        <f t="shared" si="59"/>
        <v>294</v>
      </c>
      <c r="G308">
        <v>30.5</v>
      </c>
      <c r="H308">
        <v>15.6</v>
      </c>
      <c r="I308">
        <f t="shared" si="54"/>
        <v>15.20102596282959</v>
      </c>
    </row>
    <row r="309" spans="1:9">
      <c r="A309" s="1">
        <v>33533</v>
      </c>
      <c r="B309">
        <f t="shared" si="55"/>
        <v>3769.8714299201965</v>
      </c>
      <c r="C309">
        <f t="shared" si="56"/>
        <v>15.416247367858887</v>
      </c>
      <c r="D309" s="1">
        <f t="shared" si="57"/>
        <v>33533</v>
      </c>
      <c r="E309">
        <f t="shared" si="58"/>
        <v>1991</v>
      </c>
      <c r="F309" s="13">
        <f t="shared" si="59"/>
        <v>295</v>
      </c>
      <c r="G309">
        <v>33</v>
      </c>
      <c r="H309">
        <v>14.5</v>
      </c>
      <c r="I309">
        <f t="shared" si="54"/>
        <v>15.995308876037598</v>
      </c>
    </row>
    <row r="310" spans="1:9">
      <c r="A310" s="1">
        <v>33534</v>
      </c>
      <c r="B310">
        <f t="shared" si="55"/>
        <v>3782.7214293479919</v>
      </c>
      <c r="C310">
        <f t="shared" si="56"/>
        <v>15.40944766998291</v>
      </c>
      <c r="D310" s="1">
        <f t="shared" si="57"/>
        <v>33534</v>
      </c>
      <c r="E310">
        <f t="shared" si="58"/>
        <v>1991</v>
      </c>
      <c r="F310" s="13">
        <f t="shared" si="59"/>
        <v>296</v>
      </c>
      <c r="G310">
        <v>22.2</v>
      </c>
      <c r="H310">
        <v>19.5</v>
      </c>
      <c r="I310">
        <f t="shared" si="54"/>
        <v>12.84999942779541</v>
      </c>
    </row>
    <row r="311" spans="1:9">
      <c r="A311" s="1">
        <v>33535</v>
      </c>
      <c r="B311">
        <f t="shared" si="55"/>
        <v>3793.5253853797913</v>
      </c>
      <c r="C311">
        <f t="shared" si="56"/>
        <v>15.402851104736328</v>
      </c>
      <c r="D311" s="1">
        <f t="shared" si="57"/>
        <v>33535</v>
      </c>
      <c r="E311">
        <f t="shared" si="58"/>
        <v>1991</v>
      </c>
      <c r="F311" s="13">
        <f t="shared" si="59"/>
        <v>297</v>
      </c>
      <c r="G311">
        <v>21.5</v>
      </c>
      <c r="H311">
        <v>15.5</v>
      </c>
      <c r="I311">
        <f t="shared" si="54"/>
        <v>10.803956031799316</v>
      </c>
    </row>
    <row r="312" spans="1:9">
      <c r="A312" s="1">
        <v>33536</v>
      </c>
      <c r="B312">
        <f t="shared" si="55"/>
        <v>3807.7447934150696</v>
      </c>
      <c r="C312">
        <f t="shared" si="56"/>
        <v>15.396455764770508</v>
      </c>
      <c r="D312" s="1">
        <f t="shared" si="57"/>
        <v>33536</v>
      </c>
      <c r="E312">
        <f t="shared" si="58"/>
        <v>1991</v>
      </c>
      <c r="F312" s="13">
        <f t="shared" si="59"/>
        <v>298</v>
      </c>
      <c r="G312">
        <v>27.7</v>
      </c>
      <c r="H312">
        <v>16.600000000000001</v>
      </c>
      <c r="I312">
        <f t="shared" si="54"/>
        <v>14.21940803527832</v>
      </c>
    </row>
    <row r="313" spans="1:9">
      <c r="A313" s="1">
        <v>33537</v>
      </c>
      <c r="B313">
        <f t="shared" si="55"/>
        <v>3822.4847741127014</v>
      </c>
      <c r="C313">
        <f t="shared" si="56"/>
        <v>15.390257835388184</v>
      </c>
      <c r="D313" s="1">
        <f t="shared" si="57"/>
        <v>33537</v>
      </c>
      <c r="E313">
        <f t="shared" si="58"/>
        <v>1991</v>
      </c>
      <c r="F313" s="13">
        <f t="shared" si="59"/>
        <v>299</v>
      </c>
      <c r="G313">
        <v>31.7</v>
      </c>
      <c r="H313">
        <v>12.8</v>
      </c>
      <c r="I313">
        <f t="shared" si="54"/>
        <v>14.739980697631836</v>
      </c>
    </row>
    <row r="314" spans="1:9">
      <c r="A314" s="1">
        <v>33538</v>
      </c>
      <c r="B314">
        <f t="shared" si="55"/>
        <v>3836.154100894928</v>
      </c>
      <c r="C314">
        <f t="shared" si="56"/>
        <v>15.384254455566406</v>
      </c>
      <c r="D314" s="1">
        <f t="shared" si="57"/>
        <v>33538</v>
      </c>
      <c r="E314">
        <f t="shared" si="58"/>
        <v>1991</v>
      </c>
      <c r="F314" s="13">
        <f t="shared" si="59"/>
        <v>300</v>
      </c>
      <c r="G314">
        <v>30.5</v>
      </c>
      <c r="H314">
        <v>11.4</v>
      </c>
      <c r="I314">
        <f t="shared" si="54"/>
        <v>13.669326782226562</v>
      </c>
    </row>
    <row r="315" spans="1:9">
      <c r="A315" s="1">
        <v>33539</v>
      </c>
      <c r="B315">
        <f t="shared" si="55"/>
        <v>3848.1294016838074</v>
      </c>
      <c r="C315">
        <f t="shared" si="56"/>
        <v>15.378443717956543</v>
      </c>
      <c r="D315" s="1">
        <f t="shared" si="57"/>
        <v>33539</v>
      </c>
      <c r="E315">
        <f t="shared" si="58"/>
        <v>1991</v>
      </c>
      <c r="F315" s="13">
        <f t="shared" si="59"/>
        <v>301</v>
      </c>
      <c r="G315">
        <v>26.5</v>
      </c>
      <c r="H315">
        <v>12</v>
      </c>
      <c r="I315">
        <f t="shared" si="54"/>
        <v>11.975300788879395</v>
      </c>
    </row>
    <row r="316" spans="1:9">
      <c r="A316" s="1">
        <v>33540</v>
      </c>
      <c r="B316">
        <f t="shared" si="55"/>
        <v>3859.7530198097229</v>
      </c>
      <c r="C316">
        <f t="shared" si="56"/>
        <v>15.372823715209961</v>
      </c>
      <c r="D316" s="1">
        <f t="shared" si="57"/>
        <v>33540</v>
      </c>
      <c r="E316">
        <f t="shared" si="58"/>
        <v>1991</v>
      </c>
      <c r="F316" s="13">
        <f t="shared" si="59"/>
        <v>302</v>
      </c>
      <c r="G316">
        <v>26.5</v>
      </c>
      <c r="H316">
        <v>10.9</v>
      </c>
      <c r="I316">
        <f t="shared" si="54"/>
        <v>11.623618125915527</v>
      </c>
    </row>
    <row r="317" spans="1:9">
      <c r="A317" s="1">
        <v>33541</v>
      </c>
      <c r="B317">
        <f t="shared" si="55"/>
        <v>3872.6750893592834</v>
      </c>
      <c r="C317">
        <f t="shared" si="56"/>
        <v>15.367389678955078</v>
      </c>
      <c r="D317" s="1">
        <f t="shared" si="57"/>
        <v>33541</v>
      </c>
      <c r="E317">
        <f t="shared" si="58"/>
        <v>1991</v>
      </c>
      <c r="F317" s="13">
        <f t="shared" si="59"/>
        <v>303</v>
      </c>
      <c r="G317">
        <v>26</v>
      </c>
      <c r="H317">
        <v>15.4</v>
      </c>
      <c r="I317">
        <f t="shared" si="54"/>
        <v>12.922069549560547</v>
      </c>
    </row>
    <row r="318" spans="1:9">
      <c r="A318" s="1">
        <v>33542</v>
      </c>
      <c r="B318">
        <f t="shared" si="55"/>
        <v>3886.8317360877991</v>
      </c>
      <c r="C318">
        <f t="shared" si="56"/>
        <v>15.362142562866211</v>
      </c>
      <c r="D318" s="1">
        <f t="shared" si="57"/>
        <v>33542</v>
      </c>
      <c r="E318">
        <f t="shared" si="58"/>
        <v>1991</v>
      </c>
      <c r="F318" s="13">
        <f t="shared" si="59"/>
        <v>304</v>
      </c>
      <c r="G318">
        <v>31</v>
      </c>
      <c r="H318">
        <v>12.1</v>
      </c>
      <c r="I318">
        <f t="shared" si="54"/>
        <v>14.156646728515625</v>
      </c>
    </row>
    <row r="319" spans="1:9">
      <c r="A319" s="1">
        <v>33543</v>
      </c>
      <c r="B319">
        <f t="shared" si="55"/>
        <v>3903.1817364692688</v>
      </c>
      <c r="C319">
        <f t="shared" si="56"/>
        <v>15.357075691223145</v>
      </c>
      <c r="D319" s="1">
        <f t="shared" si="57"/>
        <v>33543</v>
      </c>
      <c r="E319">
        <f t="shared" si="58"/>
        <v>1991</v>
      </c>
      <c r="F319" s="13">
        <f t="shared" si="59"/>
        <v>305</v>
      </c>
      <c r="G319">
        <v>30.2</v>
      </c>
      <c r="H319">
        <v>18.5</v>
      </c>
      <c r="I319">
        <f t="shared" si="54"/>
        <v>16.350000381469727</v>
      </c>
    </row>
    <row r="320" spans="1:9">
      <c r="A320" s="1">
        <v>33544</v>
      </c>
      <c r="B320">
        <f t="shared" si="55"/>
        <v>3919.2817368507385</v>
      </c>
      <c r="C320">
        <f t="shared" si="56"/>
        <v>15.352185249328613</v>
      </c>
      <c r="D320" s="1">
        <f t="shared" si="57"/>
        <v>33544</v>
      </c>
      <c r="E320">
        <f t="shared" si="58"/>
        <v>1991</v>
      </c>
      <c r="F320" s="13">
        <f t="shared" si="59"/>
        <v>306</v>
      </c>
      <c r="G320">
        <v>28.6</v>
      </c>
      <c r="H320">
        <v>19.600000000000001</v>
      </c>
      <c r="I320">
        <f t="shared" si="54"/>
        <v>16.100000381469727</v>
      </c>
    </row>
    <row r="321" spans="1:9">
      <c r="A321" s="1">
        <v>33545</v>
      </c>
      <c r="B321">
        <f t="shared" si="55"/>
        <v>3935.4317364692688</v>
      </c>
      <c r="C321">
        <f t="shared" si="56"/>
        <v>15.347471237182617</v>
      </c>
      <c r="D321" s="1">
        <f t="shared" si="57"/>
        <v>33545</v>
      </c>
      <c r="E321">
        <f t="shared" si="58"/>
        <v>1991</v>
      </c>
      <c r="F321" s="13">
        <f t="shared" si="59"/>
        <v>307</v>
      </c>
      <c r="G321">
        <v>29</v>
      </c>
      <c r="H321">
        <v>19.3</v>
      </c>
      <c r="I321">
        <f t="shared" si="54"/>
        <v>16.149999618530273</v>
      </c>
    </row>
    <row r="322" spans="1:9">
      <c r="A322" s="1">
        <v>33546</v>
      </c>
      <c r="B322">
        <f t="shared" si="55"/>
        <v>3952.3555989265442</v>
      </c>
      <c r="C322">
        <f t="shared" si="56"/>
        <v>15.342930793762207</v>
      </c>
      <c r="D322" s="1">
        <f t="shared" si="57"/>
        <v>33546</v>
      </c>
      <c r="E322">
        <f t="shared" si="58"/>
        <v>1991</v>
      </c>
      <c r="F322" s="13">
        <f t="shared" si="59"/>
        <v>308</v>
      </c>
      <c r="G322">
        <v>34</v>
      </c>
      <c r="H322">
        <v>15.6</v>
      </c>
      <c r="I322">
        <f t="shared" si="54"/>
        <v>16.923862457275391</v>
      </c>
    </row>
    <row r="323" spans="1:9">
      <c r="A323" s="1">
        <v>33547</v>
      </c>
      <c r="B323">
        <f t="shared" si="55"/>
        <v>3971.0764203071594</v>
      </c>
      <c r="C323">
        <f t="shared" si="56"/>
        <v>15.338559150695801</v>
      </c>
      <c r="D323" s="1">
        <f t="shared" si="57"/>
        <v>33547</v>
      </c>
      <c r="E323">
        <f t="shared" si="58"/>
        <v>1991</v>
      </c>
      <c r="F323" s="13">
        <f t="shared" si="59"/>
        <v>309</v>
      </c>
      <c r="G323">
        <v>36</v>
      </c>
      <c r="H323">
        <v>17.899999999999999</v>
      </c>
      <c r="I323">
        <f t="shared" si="54"/>
        <v>18.720821380615234</v>
      </c>
    </row>
    <row r="324" spans="1:9">
      <c r="A324" s="1">
        <v>33548</v>
      </c>
      <c r="B324">
        <f t="shared" si="55"/>
        <v>3986.8345103263855</v>
      </c>
      <c r="C324">
        <f t="shared" si="56"/>
        <v>15.334352493286133</v>
      </c>
      <c r="D324" s="1">
        <f t="shared" si="57"/>
        <v>33548</v>
      </c>
      <c r="E324">
        <f t="shared" si="58"/>
        <v>1991</v>
      </c>
      <c r="F324" s="13">
        <f t="shared" si="59"/>
        <v>310</v>
      </c>
      <c r="G324">
        <v>33.6</v>
      </c>
      <c r="H324">
        <v>13.1</v>
      </c>
      <c r="I324">
        <f t="shared" si="54"/>
        <v>15.758090019226074</v>
      </c>
    </row>
    <row r="325" spans="1:9">
      <c r="A325" s="1">
        <v>33549</v>
      </c>
      <c r="B325">
        <f t="shared" si="55"/>
        <v>4006.0790305137634</v>
      </c>
      <c r="C325">
        <f t="shared" si="56"/>
        <v>15.330307006835938</v>
      </c>
      <c r="D325" s="1">
        <f t="shared" si="57"/>
        <v>33549</v>
      </c>
      <c r="E325">
        <f t="shared" si="58"/>
        <v>1991</v>
      </c>
      <c r="F325" s="13">
        <f t="shared" si="59"/>
        <v>311</v>
      </c>
      <c r="G325">
        <v>41</v>
      </c>
      <c r="H325">
        <v>16.600000000000001</v>
      </c>
      <c r="I325">
        <f t="shared" si="54"/>
        <v>19.24452018737793</v>
      </c>
    </row>
    <row r="326" spans="1:9">
      <c r="A326" s="1">
        <v>33550</v>
      </c>
      <c r="B326">
        <f t="shared" si="55"/>
        <v>4025.8790316581726</v>
      </c>
      <c r="C326">
        <f t="shared" si="56"/>
        <v>15.326421737670898</v>
      </c>
      <c r="D326" s="1">
        <f t="shared" si="57"/>
        <v>33550</v>
      </c>
      <c r="E326">
        <f t="shared" si="58"/>
        <v>1991</v>
      </c>
      <c r="F326" s="13">
        <f t="shared" si="59"/>
        <v>312</v>
      </c>
      <c r="G326">
        <v>32.4</v>
      </c>
      <c r="H326">
        <v>23.2</v>
      </c>
      <c r="I326">
        <f t="shared" si="54"/>
        <v>19.80000114440918</v>
      </c>
    </row>
    <row r="327" spans="1:9">
      <c r="A327" s="1">
        <v>33551</v>
      </c>
      <c r="B327">
        <f t="shared" si="55"/>
        <v>4045.0711894035339</v>
      </c>
      <c r="C327">
        <f t="shared" si="56"/>
        <v>15.322691917419434</v>
      </c>
      <c r="D327" s="1">
        <f t="shared" si="57"/>
        <v>33551</v>
      </c>
      <c r="E327">
        <f t="shared" si="58"/>
        <v>1991</v>
      </c>
      <c r="F327" s="13">
        <f t="shared" si="59"/>
        <v>313</v>
      </c>
      <c r="G327">
        <v>34.5</v>
      </c>
      <c r="H327">
        <v>19.899999999999999</v>
      </c>
      <c r="I327">
        <f t="shared" si="54"/>
        <v>19.192157745361328</v>
      </c>
    </row>
    <row r="328" spans="1:9">
      <c r="A328" s="1">
        <v>33552</v>
      </c>
      <c r="B328">
        <f t="shared" si="55"/>
        <v>4060.7850012779236</v>
      </c>
      <c r="C328">
        <f t="shared" si="56"/>
        <v>15.319114685058594</v>
      </c>
      <c r="D328" s="1">
        <f t="shared" si="57"/>
        <v>33552</v>
      </c>
      <c r="E328">
        <f t="shared" si="58"/>
        <v>1991</v>
      </c>
      <c r="F328" s="13">
        <f t="shared" si="59"/>
        <v>314</v>
      </c>
      <c r="G328">
        <v>31.3</v>
      </c>
      <c r="H328">
        <v>15.9</v>
      </c>
      <c r="I328">
        <f t="shared" si="54"/>
        <v>15.713811874389648</v>
      </c>
    </row>
    <row r="329" spans="1:9">
      <c r="A329" s="1">
        <v>33553</v>
      </c>
      <c r="B329">
        <f t="shared" si="55"/>
        <v>4078.3850016593933</v>
      </c>
      <c r="C329">
        <f t="shared" si="56"/>
        <v>15.31568431854248</v>
      </c>
      <c r="D329" s="1">
        <f t="shared" si="57"/>
        <v>33553</v>
      </c>
      <c r="E329">
        <f t="shared" si="58"/>
        <v>1991</v>
      </c>
      <c r="F329" s="13">
        <f t="shared" si="59"/>
        <v>315</v>
      </c>
      <c r="G329">
        <v>33.200000000000003</v>
      </c>
      <c r="H329">
        <v>18</v>
      </c>
      <c r="I329">
        <f t="shared" si="54"/>
        <v>17.600000381469727</v>
      </c>
    </row>
    <row r="330" spans="1:9">
      <c r="A330" s="1">
        <v>33554</v>
      </c>
      <c r="B330">
        <f t="shared" si="55"/>
        <v>4096.6849989891052</v>
      </c>
      <c r="C330">
        <f t="shared" si="56"/>
        <v>15.312400817871094</v>
      </c>
      <c r="D330" s="1">
        <f t="shared" si="57"/>
        <v>33554</v>
      </c>
      <c r="E330">
        <f t="shared" si="58"/>
        <v>1991</v>
      </c>
      <c r="F330" s="13">
        <f t="shared" si="59"/>
        <v>316</v>
      </c>
      <c r="G330">
        <v>33</v>
      </c>
      <c r="H330">
        <v>19.600000000000001</v>
      </c>
      <c r="I330">
        <f t="shared" si="54"/>
        <v>18.299997329711914</v>
      </c>
    </row>
    <row r="331" spans="1:9">
      <c r="A331" s="1">
        <v>33555</v>
      </c>
      <c r="B331">
        <f t="shared" si="55"/>
        <v>4115.520781993866</v>
      </c>
      <c r="C331">
        <f t="shared" si="56"/>
        <v>15.309258460998535</v>
      </c>
      <c r="D331" s="1">
        <f t="shared" si="57"/>
        <v>33555</v>
      </c>
      <c r="E331">
        <f t="shared" si="58"/>
        <v>1991</v>
      </c>
      <c r="F331" s="13">
        <f t="shared" si="59"/>
        <v>317</v>
      </c>
      <c r="G331">
        <v>36.799999999999997</v>
      </c>
      <c r="H331">
        <v>17.7</v>
      </c>
      <c r="I331">
        <f t="shared" si="54"/>
        <v>18.835783004760742</v>
      </c>
    </row>
    <row r="332" spans="1:9">
      <c r="A332" s="1">
        <v>33556</v>
      </c>
      <c r="B332">
        <f t="shared" si="55"/>
        <v>4131.270781993866</v>
      </c>
      <c r="C332">
        <f t="shared" si="56"/>
        <v>15.306253433227539</v>
      </c>
      <c r="D332" s="1">
        <f t="shared" si="57"/>
        <v>33556</v>
      </c>
      <c r="E332">
        <f t="shared" si="58"/>
        <v>1991</v>
      </c>
      <c r="F332" s="13">
        <f t="shared" si="59"/>
        <v>318</v>
      </c>
      <c r="G332">
        <v>28.6</v>
      </c>
      <c r="H332">
        <v>18.899999999999999</v>
      </c>
      <c r="I332">
        <f t="shared" si="54"/>
        <v>15.75</v>
      </c>
    </row>
    <row r="333" spans="1:9">
      <c r="A333" s="1">
        <v>33557</v>
      </c>
      <c r="B333">
        <f t="shared" si="55"/>
        <v>4146.3207821846008</v>
      </c>
      <c r="C333">
        <f t="shared" si="56"/>
        <v>15.303384780883789</v>
      </c>
      <c r="D333" s="1">
        <f t="shared" si="57"/>
        <v>33557</v>
      </c>
      <c r="E333">
        <f t="shared" si="58"/>
        <v>1991</v>
      </c>
      <c r="F333" s="13">
        <f t="shared" si="59"/>
        <v>319</v>
      </c>
      <c r="G333">
        <v>27.4</v>
      </c>
      <c r="H333">
        <v>18.7</v>
      </c>
      <c r="I333">
        <f t="shared" si="54"/>
        <v>15.050000190734863</v>
      </c>
    </row>
    <row r="334" spans="1:9">
      <c r="A334" s="1">
        <v>33558</v>
      </c>
      <c r="B334">
        <f t="shared" si="55"/>
        <v>4161.2207818031311</v>
      </c>
      <c r="C334">
        <f t="shared" si="56"/>
        <v>15.30064582824707</v>
      </c>
      <c r="D334" s="1">
        <f t="shared" si="57"/>
        <v>33558</v>
      </c>
      <c r="E334">
        <f t="shared" si="58"/>
        <v>1991</v>
      </c>
      <c r="F334" s="13">
        <f t="shared" si="59"/>
        <v>320</v>
      </c>
      <c r="G334">
        <v>28.3</v>
      </c>
      <c r="H334">
        <v>17.5</v>
      </c>
      <c r="I334">
        <f t="shared" si="54"/>
        <v>14.899999618530273</v>
      </c>
    </row>
    <row r="335" spans="1:9">
      <c r="A335" s="1">
        <v>33559</v>
      </c>
      <c r="B335">
        <f t="shared" si="55"/>
        <v>4176.6187024116516</v>
      </c>
      <c r="C335">
        <f t="shared" si="56"/>
        <v>15.298031806945801</v>
      </c>
      <c r="D335" s="1">
        <f t="shared" si="57"/>
        <v>33559</v>
      </c>
      <c r="E335">
        <f t="shared" si="58"/>
        <v>1991</v>
      </c>
      <c r="F335" s="13">
        <f t="shared" si="59"/>
        <v>321</v>
      </c>
      <c r="G335">
        <v>30.9</v>
      </c>
      <c r="H335">
        <v>15.6</v>
      </c>
      <c r="I335">
        <f t="shared" ref="I335:I398" si="60">tt(G335,H335,$C$6:$F$6,$C$7:$F$7)</f>
        <v>15.397920608520508</v>
      </c>
    </row>
    <row r="336" spans="1:9">
      <c r="A336" s="1">
        <v>33560</v>
      </c>
      <c r="B336">
        <f t="shared" ref="B336:B379" si="61">B335+I336</f>
        <v>4194.1187024116516</v>
      </c>
      <c r="C336">
        <f t="shared" ref="C336:C379" si="62">day_length(F336,$I$7,$C$13)</f>
        <v>15.295543670654297</v>
      </c>
      <c r="D336" s="1">
        <f t="shared" ref="D336:D379" si="63">A336</f>
        <v>33560</v>
      </c>
      <c r="E336">
        <f t="shared" ref="E336:E399" si="64">YEAR(A336)</f>
        <v>1991</v>
      </c>
      <c r="F336" s="13">
        <f t="shared" ref="F336:F399" si="65">A336-DATE(E336,1,1)+1</f>
        <v>322</v>
      </c>
      <c r="G336">
        <v>31.5</v>
      </c>
      <c r="H336">
        <v>19.5</v>
      </c>
      <c r="I336">
        <f t="shared" si="60"/>
        <v>17.5</v>
      </c>
    </row>
    <row r="337" spans="1:9">
      <c r="A337" s="1">
        <v>33561</v>
      </c>
      <c r="B337">
        <f t="shared" si="61"/>
        <v>4211.3187012672424</v>
      </c>
      <c r="C337">
        <f t="shared" si="62"/>
        <v>15.29317569732666</v>
      </c>
      <c r="D337" s="1">
        <f t="shared" si="63"/>
        <v>33561</v>
      </c>
      <c r="E337">
        <f t="shared" si="64"/>
        <v>1991</v>
      </c>
      <c r="F337" s="13">
        <f t="shared" si="65"/>
        <v>323</v>
      </c>
      <c r="G337">
        <v>31.5</v>
      </c>
      <c r="H337">
        <v>18.899999999999999</v>
      </c>
      <c r="I337">
        <f t="shared" si="60"/>
        <v>17.19999885559082</v>
      </c>
    </row>
    <row r="338" spans="1:9">
      <c r="A338" s="1">
        <v>33562</v>
      </c>
      <c r="B338">
        <f t="shared" si="61"/>
        <v>4227.4608464241028</v>
      </c>
      <c r="C338">
        <f t="shared" si="62"/>
        <v>15.290925025939941</v>
      </c>
      <c r="D338" s="1">
        <f t="shared" si="63"/>
        <v>33562</v>
      </c>
      <c r="E338">
        <f t="shared" si="64"/>
        <v>1991</v>
      </c>
      <c r="F338" s="13">
        <f t="shared" si="65"/>
        <v>324</v>
      </c>
      <c r="G338">
        <v>34.4</v>
      </c>
      <c r="H338">
        <v>13.1</v>
      </c>
      <c r="I338">
        <f t="shared" si="60"/>
        <v>16.142145156860352</v>
      </c>
    </row>
    <row r="339" spans="1:9">
      <c r="A339" s="1">
        <v>33563</v>
      </c>
      <c r="B339">
        <f t="shared" si="61"/>
        <v>4244.1608471870422</v>
      </c>
      <c r="C339">
        <f t="shared" si="62"/>
        <v>15.288784980773926</v>
      </c>
      <c r="D339" s="1">
        <f t="shared" si="63"/>
        <v>33563</v>
      </c>
      <c r="E339">
        <f t="shared" si="64"/>
        <v>1991</v>
      </c>
      <c r="F339" s="13">
        <f t="shared" si="65"/>
        <v>325</v>
      </c>
      <c r="G339">
        <v>28</v>
      </c>
      <c r="H339">
        <v>21.4</v>
      </c>
      <c r="I339">
        <f t="shared" si="60"/>
        <v>16.700000762939453</v>
      </c>
    </row>
    <row r="340" spans="1:9">
      <c r="A340" s="1">
        <v>33564</v>
      </c>
      <c r="B340">
        <f t="shared" si="61"/>
        <v>4258.6755976676941</v>
      </c>
      <c r="C340">
        <f t="shared" si="62"/>
        <v>15.286755561828613</v>
      </c>
      <c r="D340" s="1">
        <f t="shared" si="63"/>
        <v>33564</v>
      </c>
      <c r="E340">
        <f t="shared" si="64"/>
        <v>1991</v>
      </c>
      <c r="F340" s="13">
        <f t="shared" si="65"/>
        <v>326</v>
      </c>
      <c r="G340">
        <v>28.3</v>
      </c>
      <c r="H340">
        <v>16.600000000000001</v>
      </c>
      <c r="I340">
        <f t="shared" si="60"/>
        <v>14.514750480651855</v>
      </c>
    </row>
    <row r="341" spans="1:9">
      <c r="A341" s="1">
        <v>33565</v>
      </c>
      <c r="B341">
        <f t="shared" si="61"/>
        <v>4271.123733997345</v>
      </c>
      <c r="C341">
        <f t="shared" si="62"/>
        <v>15.284830093383789</v>
      </c>
      <c r="D341" s="1">
        <f t="shared" si="63"/>
        <v>33565</v>
      </c>
      <c r="E341">
        <f t="shared" si="64"/>
        <v>1991</v>
      </c>
      <c r="F341" s="13">
        <f t="shared" si="65"/>
        <v>327</v>
      </c>
      <c r="G341">
        <v>28.3</v>
      </c>
      <c r="H341">
        <v>10.9</v>
      </c>
      <c r="I341">
        <f t="shared" si="60"/>
        <v>12.448136329650879</v>
      </c>
    </row>
    <row r="342" spans="1:9">
      <c r="A342" s="1">
        <v>33566</v>
      </c>
      <c r="B342">
        <f t="shared" si="61"/>
        <v>4284.6408925056458</v>
      </c>
      <c r="C342">
        <f t="shared" si="62"/>
        <v>15.28300952911377</v>
      </c>
      <c r="D342" s="1">
        <f t="shared" si="63"/>
        <v>33566</v>
      </c>
      <c r="E342">
        <f t="shared" si="64"/>
        <v>1991</v>
      </c>
      <c r="F342" s="13">
        <f t="shared" si="65"/>
        <v>328</v>
      </c>
      <c r="G342">
        <v>29.3</v>
      </c>
      <c r="H342">
        <v>12.6</v>
      </c>
      <c r="I342">
        <f t="shared" si="60"/>
        <v>13.517158508300781</v>
      </c>
    </row>
    <row r="343" spans="1:9">
      <c r="A343" s="1">
        <v>33567</v>
      </c>
      <c r="B343">
        <f t="shared" si="61"/>
        <v>4299.110044002533</v>
      </c>
      <c r="C343">
        <f t="shared" si="62"/>
        <v>15.281286239624023</v>
      </c>
      <c r="D343" s="1">
        <f t="shared" si="63"/>
        <v>33567</v>
      </c>
      <c r="E343">
        <f t="shared" si="64"/>
        <v>1991</v>
      </c>
      <c r="F343" s="13">
        <f t="shared" si="65"/>
        <v>329</v>
      </c>
      <c r="G343">
        <v>30.4</v>
      </c>
      <c r="H343">
        <v>13.8</v>
      </c>
      <c r="I343">
        <f t="shared" si="60"/>
        <v>14.469151496887207</v>
      </c>
    </row>
    <row r="344" spans="1:9">
      <c r="A344" s="1">
        <v>33568</v>
      </c>
      <c r="B344">
        <f t="shared" si="61"/>
        <v>4314.3826336860657</v>
      </c>
      <c r="C344">
        <f t="shared" si="62"/>
        <v>15.279659271240234</v>
      </c>
      <c r="D344" s="1">
        <f t="shared" si="63"/>
        <v>33568</v>
      </c>
      <c r="E344">
        <f t="shared" si="64"/>
        <v>1991</v>
      </c>
      <c r="F344" s="13">
        <f t="shared" si="65"/>
        <v>330</v>
      </c>
      <c r="G344">
        <v>32</v>
      </c>
      <c r="H344">
        <v>13.9</v>
      </c>
      <c r="I344">
        <f t="shared" si="60"/>
        <v>15.272589683532715</v>
      </c>
    </row>
    <row r="345" spans="1:9">
      <c r="A345" s="1">
        <v>33569</v>
      </c>
      <c r="B345">
        <f t="shared" si="61"/>
        <v>4332.093403339386</v>
      </c>
      <c r="C345">
        <f t="shared" si="62"/>
        <v>15.278124809265137</v>
      </c>
      <c r="D345" s="1">
        <f t="shared" si="63"/>
        <v>33569</v>
      </c>
      <c r="E345">
        <f t="shared" si="64"/>
        <v>1991</v>
      </c>
      <c r="F345" s="13">
        <f t="shared" si="65"/>
        <v>331</v>
      </c>
      <c r="G345">
        <v>35.299999999999997</v>
      </c>
      <c r="H345">
        <v>16.2</v>
      </c>
      <c r="I345">
        <f t="shared" si="60"/>
        <v>17.710769653320313</v>
      </c>
    </row>
    <row r="346" spans="1:9">
      <c r="A346" s="1">
        <v>33570</v>
      </c>
      <c r="B346">
        <f t="shared" si="61"/>
        <v>4347.6434035301208</v>
      </c>
      <c r="C346">
        <f t="shared" si="62"/>
        <v>15.276679039001465</v>
      </c>
      <c r="D346" s="1">
        <f t="shared" si="63"/>
        <v>33570</v>
      </c>
      <c r="E346">
        <f t="shared" si="64"/>
        <v>1991</v>
      </c>
      <c r="F346" s="13">
        <f t="shared" si="65"/>
        <v>332</v>
      </c>
      <c r="G346">
        <v>27.5</v>
      </c>
      <c r="H346">
        <v>19.600000000000001</v>
      </c>
      <c r="I346">
        <f t="shared" si="60"/>
        <v>15.550000190734863</v>
      </c>
    </row>
    <row r="347" spans="1:9">
      <c r="A347" s="1">
        <v>33571</v>
      </c>
      <c r="B347">
        <f t="shared" si="61"/>
        <v>4365.2934031486511</v>
      </c>
      <c r="C347">
        <f t="shared" si="62"/>
        <v>15.27531909942627</v>
      </c>
      <c r="D347" s="1">
        <f t="shared" si="63"/>
        <v>33571</v>
      </c>
      <c r="E347">
        <f t="shared" si="64"/>
        <v>1991</v>
      </c>
      <c r="F347" s="13">
        <f t="shared" si="65"/>
        <v>333</v>
      </c>
      <c r="G347">
        <v>31.5</v>
      </c>
      <c r="H347">
        <v>19.8</v>
      </c>
      <c r="I347">
        <f t="shared" si="60"/>
        <v>17.649999618530273</v>
      </c>
    </row>
    <row r="348" spans="1:9">
      <c r="A348" s="1">
        <v>33572</v>
      </c>
      <c r="B348">
        <f t="shared" si="61"/>
        <v>4381.6434035301208</v>
      </c>
      <c r="C348">
        <f t="shared" si="62"/>
        <v>15.274041175842285</v>
      </c>
      <c r="D348" s="1">
        <f t="shared" si="63"/>
        <v>33572</v>
      </c>
      <c r="E348">
        <f t="shared" si="64"/>
        <v>1991</v>
      </c>
      <c r="F348" s="13">
        <f t="shared" si="65"/>
        <v>334</v>
      </c>
      <c r="G348">
        <v>31.2</v>
      </c>
      <c r="H348">
        <v>17.5</v>
      </c>
      <c r="I348">
        <f t="shared" si="60"/>
        <v>16.350000381469727</v>
      </c>
    </row>
    <row r="349" spans="1:9">
      <c r="A349" s="1">
        <v>33573</v>
      </c>
      <c r="B349">
        <f t="shared" si="61"/>
        <v>4395.9215931892395</v>
      </c>
      <c r="C349">
        <f t="shared" si="62"/>
        <v>15.272844314575195</v>
      </c>
      <c r="D349" s="1">
        <f t="shared" si="63"/>
        <v>33573</v>
      </c>
      <c r="E349">
        <f t="shared" si="64"/>
        <v>1991</v>
      </c>
      <c r="F349" s="13">
        <f t="shared" si="65"/>
        <v>335</v>
      </c>
      <c r="G349">
        <v>27.9</v>
      </c>
      <c r="H349">
        <v>16.5</v>
      </c>
      <c r="I349">
        <f t="shared" si="60"/>
        <v>14.278189659118652</v>
      </c>
    </row>
    <row r="350" spans="1:9">
      <c r="A350" s="1">
        <v>33574</v>
      </c>
      <c r="B350">
        <f t="shared" si="61"/>
        <v>4409.9715943336487</v>
      </c>
      <c r="C350">
        <f t="shared" si="62"/>
        <v>15.271722793579102</v>
      </c>
      <c r="D350" s="1">
        <f t="shared" si="63"/>
        <v>33574</v>
      </c>
      <c r="E350">
        <f t="shared" si="64"/>
        <v>1991</v>
      </c>
      <c r="F350" s="13">
        <f t="shared" si="65"/>
        <v>336</v>
      </c>
      <c r="G350">
        <v>26.5</v>
      </c>
      <c r="H350">
        <v>17.600000000000001</v>
      </c>
      <c r="I350">
        <f t="shared" si="60"/>
        <v>14.05000114440918</v>
      </c>
    </row>
    <row r="351" spans="1:9">
      <c r="A351" s="1">
        <v>33575</v>
      </c>
      <c r="B351">
        <f t="shared" si="61"/>
        <v>4424.4452519416809</v>
      </c>
      <c r="C351">
        <f t="shared" si="62"/>
        <v>15.270676612854004</v>
      </c>
      <c r="D351" s="1">
        <f t="shared" si="63"/>
        <v>33575</v>
      </c>
      <c r="E351">
        <f t="shared" si="64"/>
        <v>1991</v>
      </c>
      <c r="F351" s="13">
        <f t="shared" si="65"/>
        <v>337</v>
      </c>
      <c r="G351">
        <v>28.7</v>
      </c>
      <c r="H351">
        <v>16</v>
      </c>
      <c r="I351">
        <f t="shared" si="60"/>
        <v>14.473657608032227</v>
      </c>
    </row>
    <row r="352" spans="1:9">
      <c r="A352" s="1">
        <v>33576</v>
      </c>
      <c r="B352">
        <f t="shared" si="61"/>
        <v>4442.5189518928528</v>
      </c>
      <c r="C352">
        <f t="shared" si="62"/>
        <v>15.269700050354004</v>
      </c>
      <c r="D352" s="1">
        <f t="shared" si="63"/>
        <v>33576</v>
      </c>
      <c r="E352">
        <f t="shared" si="64"/>
        <v>1991</v>
      </c>
      <c r="F352" s="13">
        <f t="shared" si="65"/>
        <v>338</v>
      </c>
      <c r="G352">
        <v>36</v>
      </c>
      <c r="H352">
        <v>16.5</v>
      </c>
      <c r="I352">
        <f t="shared" si="60"/>
        <v>18.073699951171875</v>
      </c>
    </row>
    <row r="353" spans="1:9">
      <c r="A353" s="1">
        <v>33577</v>
      </c>
      <c r="B353">
        <f t="shared" si="61"/>
        <v>4459.0614399909973</v>
      </c>
      <c r="C353">
        <f t="shared" si="62"/>
        <v>15.268792152404785</v>
      </c>
      <c r="D353" s="1">
        <f t="shared" si="63"/>
        <v>33577</v>
      </c>
      <c r="E353">
        <f t="shared" si="64"/>
        <v>1991</v>
      </c>
      <c r="F353" s="13">
        <f t="shared" si="65"/>
        <v>339</v>
      </c>
      <c r="G353">
        <v>32.5</v>
      </c>
      <c r="H353">
        <v>16.5</v>
      </c>
      <c r="I353">
        <f t="shared" si="60"/>
        <v>16.542488098144531</v>
      </c>
    </row>
    <row r="354" spans="1:9">
      <c r="A354" s="1">
        <v>33578</v>
      </c>
      <c r="B354">
        <f t="shared" si="61"/>
        <v>4475.7114396095276</v>
      </c>
      <c r="C354">
        <f t="shared" si="62"/>
        <v>15.267951011657715</v>
      </c>
      <c r="D354" s="1">
        <f t="shared" si="63"/>
        <v>33578</v>
      </c>
      <c r="E354">
        <f t="shared" si="64"/>
        <v>1991</v>
      </c>
      <c r="F354" s="13">
        <f t="shared" si="65"/>
        <v>340</v>
      </c>
      <c r="G354">
        <v>29.5</v>
      </c>
      <c r="H354">
        <v>19.8</v>
      </c>
      <c r="I354">
        <f t="shared" si="60"/>
        <v>16.649999618530273</v>
      </c>
    </row>
    <row r="355" spans="1:9">
      <c r="A355" s="1">
        <v>33579</v>
      </c>
      <c r="B355">
        <f t="shared" si="61"/>
        <v>4491.9614396095276</v>
      </c>
      <c r="C355">
        <f t="shared" si="62"/>
        <v>15.267171859741211</v>
      </c>
      <c r="D355" s="1">
        <f t="shared" si="63"/>
        <v>33579</v>
      </c>
      <c r="E355">
        <f t="shared" si="64"/>
        <v>1991</v>
      </c>
      <c r="F355" s="13">
        <f t="shared" si="65"/>
        <v>341</v>
      </c>
      <c r="G355">
        <v>30</v>
      </c>
      <c r="H355">
        <v>18.5</v>
      </c>
      <c r="I355">
        <f t="shared" si="60"/>
        <v>16.25</v>
      </c>
    </row>
    <row r="356" spans="1:9">
      <c r="A356" s="1">
        <v>33580</v>
      </c>
      <c r="B356">
        <f t="shared" si="61"/>
        <v>4505.2222723960876</v>
      </c>
      <c r="C356">
        <f t="shared" si="62"/>
        <v>15.266454696655273</v>
      </c>
      <c r="D356" s="1">
        <f t="shared" si="63"/>
        <v>33580</v>
      </c>
      <c r="E356">
        <f t="shared" si="64"/>
        <v>1991</v>
      </c>
      <c r="F356" s="13">
        <f t="shared" si="65"/>
        <v>342</v>
      </c>
      <c r="G356">
        <v>27</v>
      </c>
      <c r="H356">
        <v>15</v>
      </c>
      <c r="I356">
        <f t="shared" si="60"/>
        <v>13.260832786560059</v>
      </c>
    </row>
    <row r="357" spans="1:9">
      <c r="A357" s="1">
        <v>33581</v>
      </c>
      <c r="B357">
        <f t="shared" si="61"/>
        <v>4519.7848172187805</v>
      </c>
      <c r="C357">
        <f t="shared" si="62"/>
        <v>15.265795707702637</v>
      </c>
      <c r="D357" s="1">
        <f t="shared" si="63"/>
        <v>33581</v>
      </c>
      <c r="E357">
        <f t="shared" si="64"/>
        <v>1991</v>
      </c>
      <c r="F357" s="13">
        <f t="shared" si="65"/>
        <v>343</v>
      </c>
      <c r="G357">
        <v>28.8</v>
      </c>
      <c r="H357">
        <v>16.100000000000001</v>
      </c>
      <c r="I357">
        <f t="shared" si="60"/>
        <v>14.562544822692871</v>
      </c>
    </row>
    <row r="358" spans="1:9">
      <c r="A358" s="1">
        <v>33582</v>
      </c>
      <c r="B358">
        <f t="shared" si="61"/>
        <v>4534.8383631706238</v>
      </c>
      <c r="C358">
        <f t="shared" si="62"/>
        <v>15.265194892883301</v>
      </c>
      <c r="D358" s="1">
        <f t="shared" si="63"/>
        <v>33582</v>
      </c>
      <c r="E358">
        <f t="shared" si="64"/>
        <v>1991</v>
      </c>
      <c r="F358" s="13">
        <f t="shared" si="65"/>
        <v>344</v>
      </c>
      <c r="G358">
        <v>28.7</v>
      </c>
      <c r="H358">
        <v>17.399999999999999</v>
      </c>
      <c r="I358">
        <f t="shared" si="60"/>
        <v>15.053545951843262</v>
      </c>
    </row>
    <row r="359" spans="1:9">
      <c r="A359" s="1">
        <v>33583</v>
      </c>
      <c r="B359">
        <f t="shared" si="61"/>
        <v>4549.7883620262146</v>
      </c>
      <c r="C359">
        <f t="shared" si="62"/>
        <v>15.264647483825684</v>
      </c>
      <c r="D359" s="1">
        <f t="shared" si="63"/>
        <v>33583</v>
      </c>
      <c r="E359">
        <f t="shared" si="64"/>
        <v>1991</v>
      </c>
      <c r="F359" s="13">
        <f t="shared" si="65"/>
        <v>345</v>
      </c>
      <c r="G359">
        <v>27</v>
      </c>
      <c r="H359">
        <v>18.899999999999999</v>
      </c>
      <c r="I359">
        <f t="shared" si="60"/>
        <v>14.94999885559082</v>
      </c>
    </row>
    <row r="360" spans="1:9">
      <c r="A360" s="1">
        <v>33584</v>
      </c>
      <c r="B360">
        <f t="shared" si="61"/>
        <v>4561.6883616447449</v>
      </c>
      <c r="C360">
        <f t="shared" si="62"/>
        <v>15.264154434204102</v>
      </c>
      <c r="D360" s="1">
        <f t="shared" si="63"/>
        <v>33584</v>
      </c>
      <c r="E360">
        <f t="shared" si="64"/>
        <v>1991</v>
      </c>
      <c r="F360" s="13">
        <f t="shared" si="65"/>
        <v>346</v>
      </c>
      <c r="G360">
        <v>21.5</v>
      </c>
      <c r="H360">
        <v>18.3</v>
      </c>
      <c r="I360">
        <f t="shared" si="60"/>
        <v>11.899999618530273</v>
      </c>
    </row>
    <row r="361" spans="1:9">
      <c r="A361" s="1">
        <v>33585</v>
      </c>
      <c r="B361">
        <f t="shared" si="61"/>
        <v>4577.7383608818054</v>
      </c>
      <c r="C361">
        <f t="shared" si="62"/>
        <v>15.263712882995605</v>
      </c>
      <c r="D361" s="1">
        <f t="shared" si="63"/>
        <v>33585</v>
      </c>
      <c r="E361">
        <f t="shared" si="64"/>
        <v>1991</v>
      </c>
      <c r="F361" s="13">
        <f t="shared" si="65"/>
        <v>347</v>
      </c>
      <c r="G361">
        <v>29</v>
      </c>
      <c r="H361">
        <v>19.100000000000001</v>
      </c>
      <c r="I361">
        <f t="shared" si="60"/>
        <v>16.049999237060547</v>
      </c>
    </row>
    <row r="362" spans="1:9">
      <c r="A362" s="1">
        <v>33586</v>
      </c>
      <c r="B362">
        <f t="shared" si="61"/>
        <v>4595.4883608818054</v>
      </c>
      <c r="C362">
        <f t="shared" si="62"/>
        <v>15.263319969177246</v>
      </c>
      <c r="D362" s="1">
        <f t="shared" si="63"/>
        <v>33586</v>
      </c>
      <c r="E362">
        <f t="shared" si="64"/>
        <v>1991</v>
      </c>
      <c r="F362" s="13">
        <f t="shared" si="65"/>
        <v>348</v>
      </c>
      <c r="G362">
        <v>32.5</v>
      </c>
      <c r="H362">
        <v>19</v>
      </c>
      <c r="I362">
        <f t="shared" si="60"/>
        <v>17.75</v>
      </c>
    </row>
    <row r="363" spans="1:9">
      <c r="A363" s="1">
        <v>33587</v>
      </c>
      <c r="B363">
        <f t="shared" si="61"/>
        <v>4614.0383582115173</v>
      </c>
      <c r="C363">
        <f t="shared" si="62"/>
        <v>15.262975692749023</v>
      </c>
      <c r="D363" s="1">
        <f t="shared" si="63"/>
        <v>33587</v>
      </c>
      <c r="E363">
        <f t="shared" si="64"/>
        <v>1991</v>
      </c>
      <c r="F363" s="13">
        <f t="shared" si="65"/>
        <v>349</v>
      </c>
      <c r="G363">
        <v>32.6</v>
      </c>
      <c r="H363">
        <v>20.5</v>
      </c>
      <c r="I363">
        <f t="shared" si="60"/>
        <v>18.549997329711914</v>
      </c>
    </row>
    <row r="364" spans="1:9">
      <c r="A364" s="1">
        <v>33588</v>
      </c>
      <c r="B364">
        <f t="shared" si="61"/>
        <v>4632.304624080658</v>
      </c>
      <c r="C364">
        <f t="shared" si="62"/>
        <v>15.262680053710937</v>
      </c>
      <c r="D364" s="1">
        <f t="shared" si="63"/>
        <v>33588</v>
      </c>
      <c r="E364">
        <f t="shared" si="64"/>
        <v>1991</v>
      </c>
      <c r="F364" s="13">
        <f t="shared" si="65"/>
        <v>350</v>
      </c>
      <c r="G364">
        <v>35.200000000000003</v>
      </c>
      <c r="H364">
        <v>17.5</v>
      </c>
      <c r="I364">
        <f t="shared" si="60"/>
        <v>18.266265869140625</v>
      </c>
    </row>
    <row r="365" spans="1:9">
      <c r="A365" s="1">
        <v>33589</v>
      </c>
      <c r="B365">
        <f t="shared" si="61"/>
        <v>4648.7658724784851</v>
      </c>
      <c r="C365">
        <f t="shared" si="62"/>
        <v>15.262429237365723</v>
      </c>
      <c r="D365" s="1">
        <f t="shared" si="63"/>
        <v>33589</v>
      </c>
      <c r="E365">
        <f t="shared" si="64"/>
        <v>1991</v>
      </c>
      <c r="F365" s="13">
        <f t="shared" si="65"/>
        <v>351</v>
      </c>
      <c r="G365">
        <v>31.8</v>
      </c>
      <c r="H365">
        <v>17.100000000000001</v>
      </c>
      <c r="I365">
        <f t="shared" si="60"/>
        <v>16.461248397827148</v>
      </c>
    </row>
    <row r="366" spans="1:9">
      <c r="A366" s="1">
        <v>33590</v>
      </c>
      <c r="B366">
        <f t="shared" si="61"/>
        <v>4666.3158736228943</v>
      </c>
      <c r="C366">
        <f t="shared" si="62"/>
        <v>15.262224197387695</v>
      </c>
      <c r="D366" s="1">
        <f t="shared" si="63"/>
        <v>33590</v>
      </c>
      <c r="E366">
        <f t="shared" si="64"/>
        <v>1991</v>
      </c>
      <c r="F366" s="13">
        <f t="shared" si="65"/>
        <v>352</v>
      </c>
      <c r="G366">
        <v>33.5</v>
      </c>
      <c r="H366">
        <v>17.600000000000001</v>
      </c>
      <c r="I366">
        <f t="shared" si="60"/>
        <v>17.55000114440918</v>
      </c>
    </row>
    <row r="367" spans="1:9">
      <c r="A367" s="1">
        <v>33591</v>
      </c>
      <c r="B367">
        <f t="shared" si="61"/>
        <v>4683.6158728599548</v>
      </c>
      <c r="C367">
        <f t="shared" si="62"/>
        <v>15.262063980102539</v>
      </c>
      <c r="D367" s="1">
        <f t="shared" si="63"/>
        <v>33591</v>
      </c>
      <c r="E367">
        <f t="shared" si="64"/>
        <v>1991</v>
      </c>
      <c r="F367" s="13">
        <f t="shared" si="65"/>
        <v>353</v>
      </c>
      <c r="G367">
        <v>32</v>
      </c>
      <c r="H367">
        <v>18.600000000000001</v>
      </c>
      <c r="I367">
        <f t="shared" si="60"/>
        <v>17.299999237060547</v>
      </c>
    </row>
    <row r="368" spans="1:9">
      <c r="A368" s="1">
        <v>33592</v>
      </c>
      <c r="B368">
        <f t="shared" si="61"/>
        <v>4701.665874004364</v>
      </c>
      <c r="C368">
        <f t="shared" si="62"/>
        <v>15.261947631835938</v>
      </c>
      <c r="D368" s="1">
        <f t="shared" si="63"/>
        <v>33592</v>
      </c>
      <c r="E368">
        <f t="shared" si="64"/>
        <v>1991</v>
      </c>
      <c r="F368" s="13">
        <f t="shared" si="65"/>
        <v>354</v>
      </c>
      <c r="G368">
        <v>33</v>
      </c>
      <c r="H368">
        <v>19.100000000000001</v>
      </c>
      <c r="I368">
        <f t="shared" si="60"/>
        <v>18.05000114440918</v>
      </c>
    </row>
    <row r="369" spans="1:9">
      <c r="A369" s="1">
        <v>33593</v>
      </c>
      <c r="B369">
        <f t="shared" si="61"/>
        <v>4719.415874004364</v>
      </c>
      <c r="C369">
        <f t="shared" si="62"/>
        <v>15.261874198913574</v>
      </c>
      <c r="D369" s="1">
        <f t="shared" si="63"/>
        <v>33593</v>
      </c>
      <c r="E369">
        <f t="shared" si="64"/>
        <v>1991</v>
      </c>
      <c r="F369" s="13">
        <f t="shared" si="65"/>
        <v>355</v>
      </c>
      <c r="G369">
        <v>32</v>
      </c>
      <c r="H369">
        <v>19.5</v>
      </c>
      <c r="I369">
        <f t="shared" si="60"/>
        <v>17.75</v>
      </c>
    </row>
    <row r="370" spans="1:9">
      <c r="A370" s="1">
        <v>33594</v>
      </c>
      <c r="B370">
        <f t="shared" si="61"/>
        <v>4736.5189414024353</v>
      </c>
      <c r="C370">
        <f t="shared" si="62"/>
        <v>15.261844635009766</v>
      </c>
      <c r="D370" s="1">
        <f t="shared" si="63"/>
        <v>33594</v>
      </c>
      <c r="E370">
        <f t="shared" si="64"/>
        <v>1991</v>
      </c>
      <c r="F370" s="13">
        <f t="shared" si="65"/>
        <v>356</v>
      </c>
      <c r="G370">
        <v>33.799999999999997</v>
      </c>
      <c r="H370">
        <v>16.3</v>
      </c>
      <c r="I370">
        <f t="shared" si="60"/>
        <v>17.103067398071289</v>
      </c>
    </row>
    <row r="371" spans="1:9">
      <c r="A371" s="1">
        <v>33595</v>
      </c>
      <c r="B371">
        <f t="shared" si="61"/>
        <v>4751.978503704071</v>
      </c>
      <c r="C371">
        <f t="shared" si="62"/>
        <v>15.261857986450195</v>
      </c>
      <c r="D371" s="1">
        <f t="shared" si="63"/>
        <v>33595</v>
      </c>
      <c r="E371">
        <f t="shared" si="64"/>
        <v>1991</v>
      </c>
      <c r="F371" s="13">
        <f t="shared" si="65"/>
        <v>357</v>
      </c>
      <c r="G371">
        <v>30.3</v>
      </c>
      <c r="H371">
        <v>16.5</v>
      </c>
      <c r="I371">
        <f t="shared" si="60"/>
        <v>15.459562301635742</v>
      </c>
    </row>
    <row r="372" spans="1:9">
      <c r="A372" s="1">
        <v>33596</v>
      </c>
      <c r="B372">
        <f t="shared" si="61"/>
        <v>4767.0332865715027</v>
      </c>
      <c r="C372">
        <f t="shared" si="62"/>
        <v>15.261914253234863</v>
      </c>
      <c r="D372" s="1">
        <f t="shared" si="63"/>
        <v>33596</v>
      </c>
      <c r="E372">
        <f t="shared" si="64"/>
        <v>1991</v>
      </c>
      <c r="F372" s="13">
        <f t="shared" si="65"/>
        <v>358</v>
      </c>
      <c r="G372">
        <v>29.8</v>
      </c>
      <c r="H372">
        <v>16.100000000000001</v>
      </c>
      <c r="I372">
        <f t="shared" si="60"/>
        <v>15.054782867431641</v>
      </c>
    </row>
    <row r="373" spans="1:9">
      <c r="A373" s="1">
        <v>33597</v>
      </c>
      <c r="B373">
        <f t="shared" si="61"/>
        <v>4783.4457907676697</v>
      </c>
      <c r="C373">
        <f t="shared" si="62"/>
        <v>15.262015342712402</v>
      </c>
      <c r="D373" s="1">
        <f t="shared" si="63"/>
        <v>33597</v>
      </c>
      <c r="E373">
        <f t="shared" si="64"/>
        <v>1991</v>
      </c>
      <c r="F373" s="13">
        <f t="shared" si="65"/>
        <v>359</v>
      </c>
      <c r="G373">
        <v>32.799999999999997</v>
      </c>
      <c r="H373">
        <v>15.8</v>
      </c>
      <c r="I373">
        <f t="shared" si="60"/>
        <v>16.412504196166992</v>
      </c>
    </row>
    <row r="374" spans="1:9">
      <c r="A374" s="1">
        <v>33598</v>
      </c>
      <c r="B374">
        <f t="shared" si="61"/>
        <v>4800.0065131187439</v>
      </c>
      <c r="C374">
        <f t="shared" si="62"/>
        <v>15.262158393859863</v>
      </c>
      <c r="D374" s="1">
        <f t="shared" si="63"/>
        <v>33598</v>
      </c>
      <c r="E374">
        <f t="shared" si="64"/>
        <v>1991</v>
      </c>
      <c r="F374" s="13">
        <f t="shared" si="65"/>
        <v>360</v>
      </c>
      <c r="G374">
        <v>32</v>
      </c>
      <c r="H374">
        <v>17.100000000000001</v>
      </c>
      <c r="I374">
        <f t="shared" si="60"/>
        <v>16.560722351074219</v>
      </c>
    </row>
    <row r="375" spans="1:9">
      <c r="A375" s="1">
        <v>33599</v>
      </c>
      <c r="B375">
        <f t="shared" si="61"/>
        <v>4816.7565131187439</v>
      </c>
      <c r="C375">
        <f t="shared" si="62"/>
        <v>15.262347221374512</v>
      </c>
      <c r="D375" s="1">
        <f t="shared" si="63"/>
        <v>33599</v>
      </c>
      <c r="E375">
        <f t="shared" si="64"/>
        <v>1991</v>
      </c>
      <c r="F375" s="13">
        <f t="shared" si="65"/>
        <v>361</v>
      </c>
      <c r="G375">
        <v>31.5</v>
      </c>
      <c r="H375">
        <v>18</v>
      </c>
      <c r="I375">
        <f t="shared" si="60"/>
        <v>16.75</v>
      </c>
    </row>
    <row r="376" spans="1:9">
      <c r="A376" s="1">
        <v>33600</v>
      </c>
      <c r="B376">
        <f t="shared" si="61"/>
        <v>4834.2065119743347</v>
      </c>
      <c r="C376">
        <f t="shared" si="62"/>
        <v>15.262580871582031</v>
      </c>
      <c r="D376" s="1">
        <f t="shared" si="63"/>
        <v>33600</v>
      </c>
      <c r="E376">
        <f t="shared" si="64"/>
        <v>1991</v>
      </c>
      <c r="F376" s="13">
        <f t="shared" si="65"/>
        <v>362</v>
      </c>
      <c r="G376">
        <v>32.299999999999997</v>
      </c>
      <c r="H376">
        <v>18.600000000000001</v>
      </c>
      <c r="I376">
        <f t="shared" si="60"/>
        <v>17.44999885559082</v>
      </c>
    </row>
    <row r="377" spans="1:9">
      <c r="A377" s="1">
        <v>33601</v>
      </c>
      <c r="B377">
        <f t="shared" si="61"/>
        <v>4852.4565119743347</v>
      </c>
      <c r="C377">
        <f t="shared" si="62"/>
        <v>15.262859344482422</v>
      </c>
      <c r="D377" s="1">
        <f t="shared" si="63"/>
        <v>33601</v>
      </c>
      <c r="E377">
        <f t="shared" si="64"/>
        <v>1991</v>
      </c>
      <c r="F377" s="13">
        <f t="shared" si="65"/>
        <v>363</v>
      </c>
      <c r="G377">
        <v>31.8</v>
      </c>
      <c r="H377">
        <v>20.7</v>
      </c>
      <c r="I377">
        <f t="shared" si="60"/>
        <v>18.25</v>
      </c>
    </row>
    <row r="378" spans="1:9">
      <c r="A378" s="1">
        <v>33602</v>
      </c>
      <c r="B378">
        <f t="shared" si="61"/>
        <v>4870.5565123558044</v>
      </c>
      <c r="C378">
        <f t="shared" si="62"/>
        <v>15.263185501098633</v>
      </c>
      <c r="D378" s="1">
        <f t="shared" si="63"/>
        <v>33602</v>
      </c>
      <c r="E378">
        <f t="shared" si="64"/>
        <v>1991</v>
      </c>
      <c r="F378" s="13">
        <f t="shared" si="65"/>
        <v>364</v>
      </c>
      <c r="G378">
        <v>30.7</v>
      </c>
      <c r="H378">
        <v>21.5</v>
      </c>
      <c r="I378">
        <f t="shared" si="60"/>
        <v>18.100000381469727</v>
      </c>
    </row>
    <row r="379" spans="1:9">
      <c r="A379" s="1">
        <v>33603</v>
      </c>
      <c r="B379">
        <f t="shared" si="61"/>
        <v>4888.606511592865</v>
      </c>
      <c r="C379">
        <f t="shared" si="62"/>
        <v>15.263559341430664</v>
      </c>
      <c r="D379" s="1">
        <f t="shared" si="63"/>
        <v>33603</v>
      </c>
      <c r="E379">
        <f t="shared" si="64"/>
        <v>1991</v>
      </c>
      <c r="F379" s="13">
        <f t="shared" si="65"/>
        <v>365</v>
      </c>
      <c r="G379">
        <v>30.9</v>
      </c>
      <c r="H379">
        <v>21.2</v>
      </c>
      <c r="I379">
        <f t="shared" si="60"/>
        <v>18.049999237060547</v>
      </c>
    </row>
    <row r="380" spans="1:9">
      <c r="A380" s="1">
        <v>33604</v>
      </c>
      <c r="B380">
        <f t="shared" ref="B380:B443" si="66">B379+I380</f>
        <v>4907.106511592865</v>
      </c>
      <c r="C380">
        <f t="shared" ref="C380:C443" si="67">day_length(F380,$I$7,$C$13)</f>
        <v>15.264097213745117</v>
      </c>
      <c r="D380" s="1">
        <f t="shared" ref="D380:D443" si="68">A380</f>
        <v>33604</v>
      </c>
      <c r="E380">
        <f t="shared" si="64"/>
        <v>1992</v>
      </c>
      <c r="F380" s="13">
        <f t="shared" si="65"/>
        <v>1</v>
      </c>
      <c r="G380">
        <v>32</v>
      </c>
      <c r="H380">
        <v>21</v>
      </c>
      <c r="I380">
        <f t="shared" si="60"/>
        <v>18.5</v>
      </c>
    </row>
    <row r="381" spans="1:9">
      <c r="A381" s="1">
        <v>33605</v>
      </c>
      <c r="B381">
        <f t="shared" si="66"/>
        <v>4924.7565131187439</v>
      </c>
      <c r="C381">
        <f t="shared" si="67"/>
        <v>15.264583587646484</v>
      </c>
      <c r="D381" s="1">
        <f t="shared" si="68"/>
        <v>33605</v>
      </c>
      <c r="E381">
        <f t="shared" si="64"/>
        <v>1992</v>
      </c>
      <c r="F381" s="13">
        <f t="shared" si="65"/>
        <v>2</v>
      </c>
      <c r="G381">
        <v>32.299999999999997</v>
      </c>
      <c r="H381">
        <v>19</v>
      </c>
      <c r="I381">
        <f t="shared" si="60"/>
        <v>17.650001525878906</v>
      </c>
    </row>
    <row r="382" spans="1:9">
      <c r="A382" s="1">
        <v>33606</v>
      </c>
      <c r="B382">
        <f t="shared" si="66"/>
        <v>4943.6565127372742</v>
      </c>
      <c r="C382">
        <f t="shared" si="67"/>
        <v>15.26512336730957</v>
      </c>
      <c r="D382" s="1">
        <f t="shared" si="68"/>
        <v>33606</v>
      </c>
      <c r="E382">
        <f t="shared" si="64"/>
        <v>1992</v>
      </c>
      <c r="F382" s="13">
        <f t="shared" si="65"/>
        <v>3</v>
      </c>
      <c r="G382">
        <v>30.7</v>
      </c>
      <c r="H382">
        <v>23.1</v>
      </c>
      <c r="I382">
        <f t="shared" si="60"/>
        <v>18.899999618530273</v>
      </c>
    </row>
    <row r="383" spans="1:9">
      <c r="A383" s="1">
        <v>33607</v>
      </c>
      <c r="B383">
        <f t="shared" si="66"/>
        <v>4964.2775225639343</v>
      </c>
      <c r="C383">
        <f t="shared" si="67"/>
        <v>15.265718460083008</v>
      </c>
      <c r="D383" s="1">
        <f t="shared" si="68"/>
        <v>33607</v>
      </c>
      <c r="E383">
        <f t="shared" si="64"/>
        <v>1992</v>
      </c>
      <c r="F383" s="13">
        <f t="shared" si="65"/>
        <v>4</v>
      </c>
      <c r="G383">
        <v>35.299999999999997</v>
      </c>
      <c r="H383">
        <v>22.2</v>
      </c>
      <c r="I383">
        <f t="shared" si="60"/>
        <v>20.621009826660156</v>
      </c>
    </row>
    <row r="384" spans="1:9">
      <c r="A384" s="1">
        <v>33608</v>
      </c>
      <c r="B384">
        <f t="shared" si="66"/>
        <v>4980.6275229454041</v>
      </c>
      <c r="C384">
        <f t="shared" si="67"/>
        <v>15.266369819641113</v>
      </c>
      <c r="D384" s="1">
        <f t="shared" si="68"/>
        <v>33608</v>
      </c>
      <c r="E384">
        <f t="shared" si="64"/>
        <v>1992</v>
      </c>
      <c r="F384" s="13">
        <f t="shared" si="65"/>
        <v>5</v>
      </c>
      <c r="G384">
        <v>31.2</v>
      </c>
      <c r="H384">
        <v>17.5</v>
      </c>
      <c r="I384">
        <f t="shared" si="60"/>
        <v>16.350000381469727</v>
      </c>
    </row>
    <row r="385" spans="1:9">
      <c r="A385" s="1">
        <v>33609</v>
      </c>
      <c r="B385">
        <f t="shared" si="66"/>
        <v>4996.8168692588806</v>
      </c>
      <c r="C385">
        <f t="shared" si="67"/>
        <v>15.26707935333252</v>
      </c>
      <c r="D385" s="1">
        <f t="shared" si="68"/>
        <v>33609</v>
      </c>
      <c r="E385">
        <f t="shared" si="64"/>
        <v>1992</v>
      </c>
      <c r="F385" s="13">
        <f t="shared" si="65"/>
        <v>6</v>
      </c>
      <c r="G385">
        <v>34.200000000000003</v>
      </c>
      <c r="H385">
        <v>13.5</v>
      </c>
      <c r="I385">
        <f t="shared" si="60"/>
        <v>16.189346313476562</v>
      </c>
    </row>
    <row r="386" spans="1:9">
      <c r="A386" s="1">
        <v>33610</v>
      </c>
      <c r="B386">
        <f t="shared" si="66"/>
        <v>5014.8168692588806</v>
      </c>
      <c r="C386">
        <f t="shared" si="67"/>
        <v>15.267849922180176</v>
      </c>
      <c r="D386" s="1">
        <f t="shared" si="68"/>
        <v>33610</v>
      </c>
      <c r="E386">
        <f t="shared" si="64"/>
        <v>1992</v>
      </c>
      <c r="F386" s="13">
        <f t="shared" si="65"/>
        <v>7</v>
      </c>
      <c r="G386">
        <v>33.5</v>
      </c>
      <c r="H386">
        <v>18.5</v>
      </c>
      <c r="I386">
        <f t="shared" si="60"/>
        <v>18</v>
      </c>
    </row>
    <row r="387" spans="1:9">
      <c r="A387" s="1">
        <v>33611</v>
      </c>
      <c r="B387">
        <f t="shared" si="66"/>
        <v>5033.7168688774109</v>
      </c>
      <c r="C387">
        <f t="shared" si="67"/>
        <v>15.268683433532715</v>
      </c>
      <c r="D387" s="1">
        <f t="shared" si="68"/>
        <v>33611</v>
      </c>
      <c r="E387">
        <f t="shared" si="64"/>
        <v>1992</v>
      </c>
      <c r="F387" s="13">
        <f t="shared" si="65"/>
        <v>8</v>
      </c>
      <c r="G387">
        <v>32.799999999999997</v>
      </c>
      <c r="H387">
        <v>21</v>
      </c>
      <c r="I387">
        <f t="shared" si="60"/>
        <v>18.899999618530273</v>
      </c>
    </row>
    <row r="388" spans="1:9">
      <c r="A388" s="1">
        <v>33612</v>
      </c>
      <c r="B388">
        <f t="shared" si="66"/>
        <v>5052.6668696403503</v>
      </c>
      <c r="C388">
        <f t="shared" si="67"/>
        <v>15.269582748413086</v>
      </c>
      <c r="D388" s="1">
        <f t="shared" si="68"/>
        <v>33612</v>
      </c>
      <c r="E388">
        <f t="shared" si="64"/>
        <v>1992</v>
      </c>
      <c r="F388" s="13">
        <f t="shared" si="65"/>
        <v>9</v>
      </c>
      <c r="G388">
        <v>32.5</v>
      </c>
      <c r="H388">
        <v>21.4</v>
      </c>
      <c r="I388">
        <f t="shared" si="60"/>
        <v>18.950000762939453</v>
      </c>
    </row>
    <row r="389" spans="1:9">
      <c r="A389" s="1">
        <v>33613</v>
      </c>
      <c r="B389">
        <f t="shared" si="66"/>
        <v>5070.4168696403503</v>
      </c>
      <c r="C389">
        <f t="shared" si="67"/>
        <v>15.270549774169922</v>
      </c>
      <c r="D389" s="1">
        <f t="shared" si="68"/>
        <v>33613</v>
      </c>
      <c r="E389">
        <f t="shared" si="64"/>
        <v>1992</v>
      </c>
      <c r="F389" s="13">
        <f t="shared" si="65"/>
        <v>10</v>
      </c>
      <c r="G389">
        <v>29.5</v>
      </c>
      <c r="H389">
        <v>22</v>
      </c>
      <c r="I389">
        <f t="shared" si="60"/>
        <v>17.75</v>
      </c>
    </row>
    <row r="390" spans="1:9">
      <c r="A390" s="1">
        <v>33614</v>
      </c>
      <c r="B390">
        <f t="shared" si="66"/>
        <v>5088.9168696403503</v>
      </c>
      <c r="C390">
        <f t="shared" si="67"/>
        <v>15.271588325500488</v>
      </c>
      <c r="D390" s="1">
        <f t="shared" si="68"/>
        <v>33614</v>
      </c>
      <c r="E390">
        <f t="shared" si="64"/>
        <v>1992</v>
      </c>
      <c r="F390" s="13">
        <f t="shared" si="65"/>
        <v>11</v>
      </c>
      <c r="G390">
        <v>31</v>
      </c>
      <c r="H390">
        <v>22</v>
      </c>
      <c r="I390">
        <f t="shared" si="60"/>
        <v>18.5</v>
      </c>
    </row>
    <row r="391" spans="1:9">
      <c r="A391" s="1">
        <v>33615</v>
      </c>
      <c r="B391">
        <f t="shared" si="66"/>
        <v>5104.3668704032898</v>
      </c>
      <c r="C391">
        <f t="shared" si="67"/>
        <v>15.272700309753418</v>
      </c>
      <c r="D391" s="1">
        <f t="shared" si="68"/>
        <v>33615</v>
      </c>
      <c r="E391">
        <f t="shared" si="64"/>
        <v>1992</v>
      </c>
      <c r="F391" s="13">
        <f t="shared" si="65"/>
        <v>12</v>
      </c>
      <c r="G391">
        <v>28.3</v>
      </c>
      <c r="H391">
        <v>18.600000000000001</v>
      </c>
      <c r="I391">
        <f t="shared" si="60"/>
        <v>15.450000762939453</v>
      </c>
    </row>
    <row r="392" spans="1:9">
      <c r="A392" s="1">
        <v>33616</v>
      </c>
      <c r="B392">
        <f t="shared" si="66"/>
        <v>5118.9279866218567</v>
      </c>
      <c r="C392">
        <f t="shared" si="67"/>
        <v>15.273887634277344</v>
      </c>
      <c r="D392" s="1">
        <f t="shared" si="68"/>
        <v>33616</v>
      </c>
      <c r="E392">
        <f t="shared" si="64"/>
        <v>1992</v>
      </c>
      <c r="F392" s="13">
        <f t="shared" si="65"/>
        <v>13</v>
      </c>
      <c r="G392">
        <v>29.2</v>
      </c>
      <c r="H392">
        <v>15.6</v>
      </c>
      <c r="I392">
        <f t="shared" si="60"/>
        <v>14.561116218566895</v>
      </c>
    </row>
    <row r="393" spans="1:9">
      <c r="A393" s="1">
        <v>33617</v>
      </c>
      <c r="B393">
        <f t="shared" si="66"/>
        <v>5134.1208834648132</v>
      </c>
      <c r="C393">
        <f t="shared" si="67"/>
        <v>15.275155067443848</v>
      </c>
      <c r="D393" s="1">
        <f t="shared" si="68"/>
        <v>33617</v>
      </c>
      <c r="E393">
        <f t="shared" si="64"/>
        <v>1992</v>
      </c>
      <c r="F393" s="13">
        <f t="shared" si="65"/>
        <v>14</v>
      </c>
      <c r="G393">
        <v>30</v>
      </c>
      <c r="H393">
        <v>16.2</v>
      </c>
      <c r="I393">
        <f t="shared" si="60"/>
        <v>15.192896842956543</v>
      </c>
    </row>
    <row r="394" spans="1:9">
      <c r="A394" s="1">
        <v>33618</v>
      </c>
      <c r="B394">
        <f t="shared" si="66"/>
        <v>5150.8206038475037</v>
      </c>
      <c r="C394">
        <f t="shared" si="67"/>
        <v>15.276503562927246</v>
      </c>
      <c r="D394" s="1">
        <f t="shared" si="68"/>
        <v>33618</v>
      </c>
      <c r="E394">
        <f t="shared" si="64"/>
        <v>1992</v>
      </c>
      <c r="F394" s="13">
        <f t="shared" si="65"/>
        <v>15</v>
      </c>
      <c r="G394">
        <v>32.9</v>
      </c>
      <c r="H394">
        <v>16.399999999999999</v>
      </c>
      <c r="I394">
        <f t="shared" si="60"/>
        <v>16.69972038269043</v>
      </c>
    </row>
    <row r="395" spans="1:9">
      <c r="A395" s="1">
        <v>33619</v>
      </c>
      <c r="B395">
        <f t="shared" si="66"/>
        <v>5169.4706034660339</v>
      </c>
      <c r="C395">
        <f t="shared" si="67"/>
        <v>15.277938842773437</v>
      </c>
      <c r="D395" s="1">
        <f t="shared" si="68"/>
        <v>33619</v>
      </c>
      <c r="E395">
        <f t="shared" si="64"/>
        <v>1992</v>
      </c>
      <c r="F395" s="13">
        <f t="shared" si="65"/>
        <v>16</v>
      </c>
      <c r="G395">
        <v>31</v>
      </c>
      <c r="H395">
        <v>22.3</v>
      </c>
      <c r="I395">
        <f t="shared" si="60"/>
        <v>18.649999618530273</v>
      </c>
    </row>
    <row r="396" spans="1:9">
      <c r="A396" s="1">
        <v>33620</v>
      </c>
      <c r="B396">
        <f t="shared" si="66"/>
        <v>5189.853581905365</v>
      </c>
      <c r="C396">
        <f t="shared" si="67"/>
        <v>15.279462814331055</v>
      </c>
      <c r="D396" s="1">
        <f t="shared" si="68"/>
        <v>33620</v>
      </c>
      <c r="E396">
        <f t="shared" si="64"/>
        <v>1992</v>
      </c>
      <c r="F396" s="13">
        <f t="shared" si="65"/>
        <v>17</v>
      </c>
      <c r="G396">
        <v>35.5</v>
      </c>
      <c r="H396">
        <v>21.6</v>
      </c>
      <c r="I396">
        <f t="shared" si="60"/>
        <v>20.382978439331055</v>
      </c>
    </row>
    <row r="397" spans="1:9">
      <c r="A397" s="1">
        <v>33621</v>
      </c>
      <c r="B397">
        <f t="shared" si="66"/>
        <v>5210.1130576133728</v>
      </c>
      <c r="C397">
        <f t="shared" si="67"/>
        <v>15.281078338623047</v>
      </c>
      <c r="D397" s="1">
        <f t="shared" si="68"/>
        <v>33621</v>
      </c>
      <c r="E397">
        <f t="shared" si="64"/>
        <v>1992</v>
      </c>
      <c r="F397" s="13">
        <f t="shared" si="65"/>
        <v>18</v>
      </c>
      <c r="G397">
        <v>35.4</v>
      </c>
      <c r="H397">
        <v>21.4</v>
      </c>
      <c r="I397">
        <f t="shared" si="60"/>
        <v>20.259475708007813</v>
      </c>
    </row>
    <row r="398" spans="1:9">
      <c r="A398" s="1">
        <v>33622</v>
      </c>
      <c r="B398">
        <f t="shared" si="66"/>
        <v>5227.5130572319031</v>
      </c>
      <c r="C398">
        <f t="shared" si="67"/>
        <v>15.282788276672363</v>
      </c>
      <c r="D398" s="1">
        <f t="shared" si="68"/>
        <v>33622</v>
      </c>
      <c r="E398">
        <f t="shared" si="64"/>
        <v>1992</v>
      </c>
      <c r="F398" s="13">
        <f t="shared" si="65"/>
        <v>19</v>
      </c>
      <c r="G398">
        <v>31.5</v>
      </c>
      <c r="H398">
        <v>19.3</v>
      </c>
      <c r="I398">
        <f t="shared" si="60"/>
        <v>17.399999618530273</v>
      </c>
    </row>
    <row r="399" spans="1:9">
      <c r="A399" s="1">
        <v>33623</v>
      </c>
      <c r="B399">
        <f t="shared" si="66"/>
        <v>5245.8630557060242</v>
      </c>
      <c r="C399">
        <f t="shared" si="67"/>
        <v>15.284597396850586</v>
      </c>
      <c r="D399" s="1">
        <f t="shared" si="68"/>
        <v>33623</v>
      </c>
      <c r="E399">
        <f t="shared" si="64"/>
        <v>1992</v>
      </c>
      <c r="F399" s="13">
        <f t="shared" si="65"/>
        <v>20</v>
      </c>
      <c r="G399">
        <v>31.5</v>
      </c>
      <c r="H399">
        <v>21.2</v>
      </c>
      <c r="I399">
        <f t="shared" ref="I399:I462" si="69">tt(G399,H399,$C$6:$F$6,$C$7:$F$7)</f>
        <v>18.349998474121094</v>
      </c>
    </row>
    <row r="400" spans="1:9">
      <c r="A400" s="1">
        <v>33624</v>
      </c>
      <c r="B400">
        <f t="shared" si="66"/>
        <v>5264.3630557060242</v>
      </c>
      <c r="C400">
        <f t="shared" si="67"/>
        <v>15.286507606506348</v>
      </c>
      <c r="D400" s="1">
        <f t="shared" si="68"/>
        <v>33624</v>
      </c>
      <c r="E400">
        <f t="shared" ref="E400:E463" si="70">YEAR(A400)</f>
        <v>1992</v>
      </c>
      <c r="F400" s="13">
        <f t="shared" ref="F400:F463" si="71">A400-DATE(E400,1,1)+1</f>
        <v>21</v>
      </c>
      <c r="G400">
        <v>30</v>
      </c>
      <c r="H400">
        <v>23</v>
      </c>
      <c r="I400">
        <f t="shared" si="69"/>
        <v>18.5</v>
      </c>
    </row>
    <row r="401" spans="1:9">
      <c r="A401" s="1">
        <v>33625</v>
      </c>
      <c r="B401">
        <f t="shared" si="66"/>
        <v>5281.1130557060242</v>
      </c>
      <c r="C401">
        <f t="shared" si="67"/>
        <v>15.288525581359863</v>
      </c>
      <c r="D401" s="1">
        <f t="shared" si="68"/>
        <v>33625</v>
      </c>
      <c r="E401">
        <f t="shared" si="70"/>
        <v>1992</v>
      </c>
      <c r="F401" s="13">
        <f t="shared" si="71"/>
        <v>22</v>
      </c>
      <c r="G401">
        <v>30.1</v>
      </c>
      <c r="H401">
        <v>19.399999999999999</v>
      </c>
      <c r="I401">
        <f t="shared" si="69"/>
        <v>16.75</v>
      </c>
    </row>
    <row r="402" spans="1:9">
      <c r="A402" s="1">
        <v>33626</v>
      </c>
      <c r="B402">
        <f t="shared" si="66"/>
        <v>5297.3630557060242</v>
      </c>
      <c r="C402">
        <f t="shared" si="67"/>
        <v>15.2906494140625</v>
      </c>
      <c r="D402" s="1">
        <f t="shared" si="68"/>
        <v>33626</v>
      </c>
      <c r="E402">
        <f t="shared" si="70"/>
        <v>1992</v>
      </c>
      <c r="F402" s="13">
        <f t="shared" si="71"/>
        <v>23</v>
      </c>
      <c r="G402">
        <v>31</v>
      </c>
      <c r="H402">
        <v>17.5</v>
      </c>
      <c r="I402">
        <f t="shared" si="69"/>
        <v>16.25</v>
      </c>
    </row>
    <row r="403" spans="1:9">
      <c r="A403" s="1">
        <v>33627</v>
      </c>
      <c r="B403">
        <f t="shared" si="66"/>
        <v>5315.3686003684998</v>
      </c>
      <c r="C403">
        <f t="shared" si="67"/>
        <v>15.292888641357422</v>
      </c>
      <c r="D403" s="1">
        <f t="shared" si="68"/>
        <v>33627</v>
      </c>
      <c r="E403">
        <f t="shared" si="70"/>
        <v>1992</v>
      </c>
      <c r="F403" s="13">
        <f t="shared" si="71"/>
        <v>24</v>
      </c>
      <c r="G403">
        <v>35.5</v>
      </c>
      <c r="H403">
        <v>16.7</v>
      </c>
      <c r="I403">
        <f t="shared" si="69"/>
        <v>18.005544662475586</v>
      </c>
    </row>
    <row r="404" spans="1:9">
      <c r="A404" s="1">
        <v>33628</v>
      </c>
      <c r="B404">
        <f t="shared" si="66"/>
        <v>5334.7997546195984</v>
      </c>
      <c r="C404">
        <f t="shared" si="67"/>
        <v>15.295241355895996</v>
      </c>
      <c r="D404" s="1">
        <f t="shared" si="68"/>
        <v>33628</v>
      </c>
      <c r="E404">
        <f t="shared" si="70"/>
        <v>1992</v>
      </c>
      <c r="F404" s="13">
        <f t="shared" si="71"/>
        <v>25</v>
      </c>
      <c r="G404">
        <v>35</v>
      </c>
      <c r="H404">
        <v>20</v>
      </c>
      <c r="I404">
        <f t="shared" si="69"/>
        <v>19.431154251098633</v>
      </c>
    </row>
    <row r="405" spans="1:9">
      <c r="A405" s="1">
        <v>33629</v>
      </c>
      <c r="B405">
        <f t="shared" si="66"/>
        <v>5355.1333022117615</v>
      </c>
      <c r="C405">
        <f t="shared" si="67"/>
        <v>15.297715187072754</v>
      </c>
      <c r="D405" s="1">
        <f t="shared" si="68"/>
        <v>33629</v>
      </c>
      <c r="E405">
        <f t="shared" si="70"/>
        <v>1992</v>
      </c>
      <c r="F405" s="13">
        <f t="shared" si="71"/>
        <v>26</v>
      </c>
      <c r="G405">
        <v>34.5</v>
      </c>
      <c r="H405">
        <v>22.2</v>
      </c>
      <c r="I405">
        <f t="shared" si="69"/>
        <v>20.333547592163086</v>
      </c>
    </row>
    <row r="406" spans="1:9">
      <c r="A406" s="1">
        <v>33630</v>
      </c>
      <c r="B406">
        <f t="shared" si="66"/>
        <v>5371.7833018302917</v>
      </c>
      <c r="C406">
        <f t="shared" si="67"/>
        <v>15.300312042236328</v>
      </c>
      <c r="D406" s="1">
        <f t="shared" si="68"/>
        <v>33630</v>
      </c>
      <c r="E406">
        <f t="shared" si="70"/>
        <v>1992</v>
      </c>
      <c r="F406" s="13">
        <f t="shared" si="71"/>
        <v>27</v>
      </c>
      <c r="G406">
        <v>31.1</v>
      </c>
      <c r="H406">
        <v>18.2</v>
      </c>
      <c r="I406">
        <f t="shared" si="69"/>
        <v>16.649999618530273</v>
      </c>
    </row>
    <row r="407" spans="1:9">
      <c r="A407" s="1">
        <v>33631</v>
      </c>
      <c r="B407">
        <f t="shared" si="66"/>
        <v>5389.683301448822</v>
      </c>
      <c r="C407">
        <f t="shared" si="67"/>
        <v>15.303034782409668</v>
      </c>
      <c r="D407" s="1">
        <f t="shared" si="68"/>
        <v>33631</v>
      </c>
      <c r="E407">
        <f t="shared" si="70"/>
        <v>1992</v>
      </c>
      <c r="F407" s="13">
        <f t="shared" si="71"/>
        <v>28</v>
      </c>
      <c r="G407">
        <v>32</v>
      </c>
      <c r="H407">
        <v>19.8</v>
      </c>
      <c r="I407">
        <f t="shared" si="69"/>
        <v>17.899999618530273</v>
      </c>
    </row>
    <row r="408" spans="1:9">
      <c r="A408" s="1">
        <v>33632</v>
      </c>
      <c r="B408">
        <f t="shared" si="66"/>
        <v>5407.0833010673523</v>
      </c>
      <c r="C408">
        <f t="shared" si="67"/>
        <v>15.305887222290039</v>
      </c>
      <c r="D408" s="1">
        <f t="shared" si="68"/>
        <v>33632</v>
      </c>
      <c r="E408">
        <f t="shared" si="70"/>
        <v>1992</v>
      </c>
      <c r="F408" s="13">
        <f t="shared" si="71"/>
        <v>29</v>
      </c>
      <c r="G408">
        <v>31</v>
      </c>
      <c r="H408">
        <v>19.8</v>
      </c>
      <c r="I408">
        <f t="shared" si="69"/>
        <v>17.399999618530273</v>
      </c>
    </row>
    <row r="409" spans="1:9">
      <c r="A409" s="1">
        <v>33633</v>
      </c>
      <c r="B409">
        <f t="shared" si="66"/>
        <v>5424.683301448822</v>
      </c>
      <c r="C409">
        <f t="shared" si="67"/>
        <v>15.308876037597656</v>
      </c>
      <c r="D409" s="1">
        <f t="shared" si="68"/>
        <v>33633</v>
      </c>
      <c r="E409">
        <f t="shared" si="70"/>
        <v>1992</v>
      </c>
      <c r="F409" s="13">
        <f t="shared" si="71"/>
        <v>30</v>
      </c>
      <c r="G409">
        <v>31</v>
      </c>
      <c r="H409">
        <v>20.2</v>
      </c>
      <c r="I409">
        <f t="shared" si="69"/>
        <v>17.600000381469727</v>
      </c>
    </row>
    <row r="410" spans="1:9">
      <c r="A410" s="1">
        <v>33634</v>
      </c>
      <c r="B410">
        <f t="shared" si="66"/>
        <v>5441.8833022117615</v>
      </c>
      <c r="C410">
        <f t="shared" si="67"/>
        <v>15.312000274658203</v>
      </c>
      <c r="D410" s="1">
        <f t="shared" si="68"/>
        <v>33634</v>
      </c>
      <c r="E410">
        <f t="shared" si="70"/>
        <v>1992</v>
      </c>
      <c r="F410" s="13">
        <f t="shared" si="71"/>
        <v>31</v>
      </c>
      <c r="G410">
        <v>28.4</v>
      </c>
      <c r="H410">
        <v>22</v>
      </c>
      <c r="I410">
        <f t="shared" si="69"/>
        <v>17.200000762939453</v>
      </c>
    </row>
    <row r="411" spans="1:9">
      <c r="A411" s="1">
        <v>33635</v>
      </c>
      <c r="B411">
        <f t="shared" si="66"/>
        <v>5456.933301448822</v>
      </c>
      <c r="C411">
        <f t="shared" si="67"/>
        <v>15.315267562866211</v>
      </c>
      <c r="D411" s="1">
        <f t="shared" si="68"/>
        <v>33635</v>
      </c>
      <c r="E411">
        <f t="shared" si="70"/>
        <v>1992</v>
      </c>
      <c r="F411" s="13">
        <f t="shared" si="71"/>
        <v>32</v>
      </c>
      <c r="G411">
        <v>26.3</v>
      </c>
      <c r="H411">
        <v>19.8</v>
      </c>
      <c r="I411">
        <f t="shared" si="69"/>
        <v>15.049999237060547</v>
      </c>
    </row>
    <row r="412" spans="1:9">
      <c r="A412" s="1">
        <v>33636</v>
      </c>
      <c r="B412">
        <f t="shared" si="66"/>
        <v>5473.2333006858826</v>
      </c>
      <c r="C412">
        <f t="shared" si="67"/>
        <v>15.318676948547363</v>
      </c>
      <c r="D412" s="1">
        <f t="shared" si="68"/>
        <v>33636</v>
      </c>
      <c r="E412">
        <f t="shared" si="70"/>
        <v>1992</v>
      </c>
      <c r="F412" s="13">
        <f t="shared" si="71"/>
        <v>33</v>
      </c>
      <c r="G412">
        <v>29.5</v>
      </c>
      <c r="H412">
        <v>19.100000000000001</v>
      </c>
      <c r="I412">
        <f t="shared" si="69"/>
        <v>16.299999237060547</v>
      </c>
    </row>
    <row r="413" spans="1:9">
      <c r="A413" s="1">
        <v>33637</v>
      </c>
      <c r="B413">
        <f t="shared" si="66"/>
        <v>5488.8043217658997</v>
      </c>
      <c r="C413">
        <f t="shared" si="67"/>
        <v>15.322236061096191</v>
      </c>
      <c r="D413" s="1">
        <f t="shared" si="68"/>
        <v>33637</v>
      </c>
      <c r="E413">
        <f t="shared" si="70"/>
        <v>1992</v>
      </c>
      <c r="F413" s="13">
        <f t="shared" si="71"/>
        <v>34</v>
      </c>
      <c r="G413">
        <v>30.1</v>
      </c>
      <c r="H413">
        <v>17</v>
      </c>
      <c r="I413">
        <f t="shared" si="69"/>
        <v>15.57102108001709</v>
      </c>
    </row>
    <row r="414" spans="1:9">
      <c r="A414" s="1">
        <v>33638</v>
      </c>
      <c r="B414">
        <f t="shared" si="66"/>
        <v>5505.2043232917786</v>
      </c>
      <c r="C414">
        <f t="shared" si="67"/>
        <v>15.325946807861328</v>
      </c>
      <c r="D414" s="1">
        <f t="shared" si="68"/>
        <v>33638</v>
      </c>
      <c r="E414">
        <f t="shared" si="70"/>
        <v>1992</v>
      </c>
      <c r="F414" s="13">
        <f t="shared" si="71"/>
        <v>35</v>
      </c>
      <c r="G414">
        <v>30.8</v>
      </c>
      <c r="H414">
        <v>18</v>
      </c>
      <c r="I414">
        <f t="shared" si="69"/>
        <v>16.400001525878906</v>
      </c>
    </row>
    <row r="415" spans="1:9">
      <c r="A415" s="1">
        <v>33639</v>
      </c>
      <c r="B415">
        <f t="shared" si="66"/>
        <v>5523.0543217658997</v>
      </c>
      <c r="C415">
        <f t="shared" si="67"/>
        <v>15.329813003540039</v>
      </c>
      <c r="D415" s="1">
        <f t="shared" si="68"/>
        <v>33639</v>
      </c>
      <c r="E415">
        <f t="shared" si="70"/>
        <v>1992</v>
      </c>
      <c r="F415" s="13">
        <f t="shared" si="71"/>
        <v>36</v>
      </c>
      <c r="G415">
        <v>32.299999999999997</v>
      </c>
      <c r="H415">
        <v>19.399999999999999</v>
      </c>
      <c r="I415">
        <f t="shared" si="69"/>
        <v>17.849998474121094</v>
      </c>
    </row>
    <row r="416" spans="1:9">
      <c r="A416" s="1">
        <v>33640</v>
      </c>
      <c r="B416">
        <f t="shared" si="66"/>
        <v>5541.0543217658997</v>
      </c>
      <c r="C416">
        <f t="shared" si="67"/>
        <v>15.333836555480957</v>
      </c>
      <c r="D416" s="1">
        <f t="shared" si="68"/>
        <v>33640</v>
      </c>
      <c r="E416">
        <f t="shared" si="70"/>
        <v>1992</v>
      </c>
      <c r="F416" s="13">
        <f t="shared" si="71"/>
        <v>37</v>
      </c>
      <c r="G416">
        <v>32.5</v>
      </c>
      <c r="H416">
        <v>19.5</v>
      </c>
      <c r="I416">
        <f t="shared" si="69"/>
        <v>18</v>
      </c>
    </row>
    <row r="417" spans="1:9">
      <c r="A417" s="1">
        <v>33641</v>
      </c>
      <c r="B417">
        <f t="shared" si="66"/>
        <v>5559.3043217658997</v>
      </c>
      <c r="C417">
        <f t="shared" si="67"/>
        <v>15.338024139404297</v>
      </c>
      <c r="D417" s="1">
        <f t="shared" si="68"/>
        <v>33641</v>
      </c>
      <c r="E417">
        <f t="shared" si="70"/>
        <v>1992</v>
      </c>
      <c r="F417" s="13">
        <f t="shared" si="71"/>
        <v>38</v>
      </c>
      <c r="G417">
        <v>33.5</v>
      </c>
      <c r="H417">
        <v>19</v>
      </c>
      <c r="I417">
        <f t="shared" si="69"/>
        <v>18.25</v>
      </c>
    </row>
    <row r="418" spans="1:9">
      <c r="A418" s="1">
        <v>33642</v>
      </c>
      <c r="B418">
        <f t="shared" si="66"/>
        <v>5576.3543210029602</v>
      </c>
      <c r="C418">
        <f t="shared" si="67"/>
        <v>15.342374801635742</v>
      </c>
      <c r="D418" s="1">
        <f t="shared" si="68"/>
        <v>33642</v>
      </c>
      <c r="E418">
        <f t="shared" si="70"/>
        <v>1992</v>
      </c>
      <c r="F418" s="13">
        <f t="shared" si="71"/>
        <v>39</v>
      </c>
      <c r="G418">
        <v>28.8</v>
      </c>
      <c r="H418">
        <v>21.3</v>
      </c>
      <c r="I418">
        <f t="shared" si="69"/>
        <v>17.049999237060547</v>
      </c>
    </row>
    <row r="419" spans="1:9">
      <c r="A419" s="1">
        <v>33643</v>
      </c>
      <c r="B419">
        <f t="shared" si="66"/>
        <v>5593.804319858551</v>
      </c>
      <c r="C419">
        <f t="shared" si="67"/>
        <v>15.346896171569824</v>
      </c>
      <c r="D419" s="1">
        <f t="shared" si="68"/>
        <v>33643</v>
      </c>
      <c r="E419">
        <f t="shared" si="70"/>
        <v>1992</v>
      </c>
      <c r="F419" s="13">
        <f t="shared" si="71"/>
        <v>40</v>
      </c>
      <c r="G419">
        <v>28.6</v>
      </c>
      <c r="H419">
        <v>22.3</v>
      </c>
      <c r="I419">
        <f t="shared" si="69"/>
        <v>17.44999885559082</v>
      </c>
    </row>
    <row r="420" spans="1:9">
      <c r="A420" s="1">
        <v>33644</v>
      </c>
      <c r="B420">
        <f t="shared" si="66"/>
        <v>5609.7543187141418</v>
      </c>
      <c r="C420">
        <f t="shared" si="67"/>
        <v>15.351588249206543</v>
      </c>
      <c r="D420" s="1">
        <f t="shared" si="68"/>
        <v>33644</v>
      </c>
      <c r="E420">
        <f t="shared" si="70"/>
        <v>1992</v>
      </c>
      <c r="F420" s="13">
        <f t="shared" si="71"/>
        <v>41</v>
      </c>
      <c r="G420">
        <v>28</v>
      </c>
      <c r="H420">
        <v>19.899999999999999</v>
      </c>
      <c r="I420">
        <f t="shared" si="69"/>
        <v>15.94999885559082</v>
      </c>
    </row>
    <row r="421" spans="1:9">
      <c r="A421" s="1">
        <v>33645</v>
      </c>
      <c r="B421">
        <f t="shared" si="66"/>
        <v>5626.8043179512024</v>
      </c>
      <c r="C421">
        <f t="shared" si="67"/>
        <v>15.356454849243164</v>
      </c>
      <c r="D421" s="1">
        <f t="shared" si="68"/>
        <v>33645</v>
      </c>
      <c r="E421">
        <f t="shared" si="70"/>
        <v>1992</v>
      </c>
      <c r="F421" s="13">
        <f t="shared" si="71"/>
        <v>42</v>
      </c>
      <c r="G421">
        <v>30</v>
      </c>
      <c r="H421">
        <v>20.100000000000001</v>
      </c>
      <c r="I421">
        <f t="shared" si="69"/>
        <v>17.049999237060547</v>
      </c>
    </row>
    <row r="422" spans="1:9">
      <c r="A422" s="1">
        <v>33646</v>
      </c>
      <c r="B422">
        <f t="shared" si="66"/>
        <v>5646.0043187141418</v>
      </c>
      <c r="C422">
        <f t="shared" si="67"/>
        <v>15.36149787902832</v>
      </c>
      <c r="D422" s="1">
        <f t="shared" si="68"/>
        <v>33646</v>
      </c>
      <c r="E422">
        <f t="shared" si="70"/>
        <v>1992</v>
      </c>
      <c r="F422" s="13">
        <f t="shared" si="71"/>
        <v>43</v>
      </c>
      <c r="G422">
        <v>31.8</v>
      </c>
      <c r="H422">
        <v>22.6</v>
      </c>
      <c r="I422">
        <f t="shared" si="69"/>
        <v>19.200000762939453</v>
      </c>
    </row>
    <row r="423" spans="1:9">
      <c r="A423" s="1">
        <v>33647</v>
      </c>
      <c r="B423">
        <f t="shared" si="66"/>
        <v>5663.8043179512024</v>
      </c>
      <c r="C423">
        <f t="shared" si="67"/>
        <v>15.366724967956543</v>
      </c>
      <c r="D423" s="1">
        <f t="shared" si="68"/>
        <v>33647</v>
      </c>
      <c r="E423">
        <f t="shared" si="70"/>
        <v>1992</v>
      </c>
      <c r="F423" s="13">
        <f t="shared" si="71"/>
        <v>44</v>
      </c>
      <c r="G423">
        <v>31</v>
      </c>
      <c r="H423">
        <v>20.6</v>
      </c>
      <c r="I423">
        <f t="shared" si="69"/>
        <v>17.799999237060547</v>
      </c>
    </row>
    <row r="424" spans="1:9">
      <c r="A424" s="1">
        <v>33648</v>
      </c>
      <c r="B424">
        <f t="shared" si="66"/>
        <v>5681.1543183326721</v>
      </c>
      <c r="C424">
        <f t="shared" si="67"/>
        <v>15.372135162353516</v>
      </c>
      <c r="D424" s="1">
        <f t="shared" si="68"/>
        <v>33648</v>
      </c>
      <c r="E424">
        <f t="shared" si="70"/>
        <v>1992</v>
      </c>
      <c r="F424" s="13">
        <f t="shared" si="71"/>
        <v>45</v>
      </c>
      <c r="G424">
        <v>29.7</v>
      </c>
      <c r="H424">
        <v>21</v>
      </c>
      <c r="I424">
        <f t="shared" si="69"/>
        <v>17.350000381469727</v>
      </c>
    </row>
    <row r="425" spans="1:9">
      <c r="A425" s="1">
        <v>33649</v>
      </c>
      <c r="B425">
        <f t="shared" si="66"/>
        <v>5696.5543179512024</v>
      </c>
      <c r="C425">
        <f t="shared" si="67"/>
        <v>15.377730369567871</v>
      </c>
      <c r="D425" s="1">
        <f t="shared" si="68"/>
        <v>33649</v>
      </c>
      <c r="E425">
        <f t="shared" si="70"/>
        <v>1992</v>
      </c>
      <c r="F425" s="13">
        <f t="shared" si="71"/>
        <v>46</v>
      </c>
      <c r="G425">
        <v>28.4</v>
      </c>
      <c r="H425">
        <v>18.399999999999999</v>
      </c>
      <c r="I425">
        <f t="shared" si="69"/>
        <v>15.399999618530273</v>
      </c>
    </row>
    <row r="426" spans="1:9">
      <c r="A426" s="1">
        <v>33650</v>
      </c>
      <c r="B426">
        <f t="shared" si="66"/>
        <v>5712.3543171882629</v>
      </c>
      <c r="C426">
        <f t="shared" si="67"/>
        <v>15.383516311645508</v>
      </c>
      <c r="D426" s="1">
        <f t="shared" si="68"/>
        <v>33650</v>
      </c>
      <c r="E426">
        <f t="shared" si="70"/>
        <v>1992</v>
      </c>
      <c r="F426" s="13">
        <f t="shared" si="71"/>
        <v>47</v>
      </c>
      <c r="G426">
        <v>29.6</v>
      </c>
      <c r="H426">
        <v>18</v>
      </c>
      <c r="I426">
        <f t="shared" si="69"/>
        <v>15.799999237060547</v>
      </c>
    </row>
    <row r="427" spans="1:9">
      <c r="A427" s="1">
        <v>33651</v>
      </c>
      <c r="B427">
        <f t="shared" si="66"/>
        <v>5728.0097270011902</v>
      </c>
      <c r="C427">
        <f t="shared" si="67"/>
        <v>15.389495849609375</v>
      </c>
      <c r="D427" s="1">
        <f t="shared" si="68"/>
        <v>33651</v>
      </c>
      <c r="E427">
        <f t="shared" si="70"/>
        <v>1992</v>
      </c>
      <c r="F427" s="13">
        <f t="shared" si="71"/>
        <v>48</v>
      </c>
      <c r="G427">
        <v>30</v>
      </c>
      <c r="H427">
        <v>17.3</v>
      </c>
      <c r="I427">
        <f t="shared" si="69"/>
        <v>15.655409812927246</v>
      </c>
    </row>
    <row r="428" spans="1:9">
      <c r="A428" s="1">
        <v>33652</v>
      </c>
      <c r="B428">
        <f t="shared" si="66"/>
        <v>5743.4097275733948</v>
      </c>
      <c r="C428">
        <f t="shared" si="67"/>
        <v>15.395668983459473</v>
      </c>
      <c r="D428" s="1">
        <f t="shared" si="68"/>
        <v>33652</v>
      </c>
      <c r="E428">
        <f t="shared" si="70"/>
        <v>1992</v>
      </c>
      <c r="F428" s="13">
        <f t="shared" si="71"/>
        <v>49</v>
      </c>
      <c r="G428">
        <v>27.7</v>
      </c>
      <c r="H428">
        <v>19.100000000000001</v>
      </c>
      <c r="I428">
        <f t="shared" si="69"/>
        <v>15.40000057220459</v>
      </c>
    </row>
    <row r="429" spans="1:9">
      <c r="A429" s="1">
        <v>33653</v>
      </c>
      <c r="B429">
        <f t="shared" si="66"/>
        <v>5761.6597294807434</v>
      </c>
      <c r="C429">
        <f t="shared" si="67"/>
        <v>15.402040481567383</v>
      </c>
      <c r="D429" s="1">
        <f t="shared" si="68"/>
        <v>33653</v>
      </c>
      <c r="E429">
        <f t="shared" si="70"/>
        <v>1992</v>
      </c>
      <c r="F429" s="13">
        <f t="shared" si="71"/>
        <v>50</v>
      </c>
      <c r="G429">
        <v>30.9</v>
      </c>
      <c r="H429">
        <v>21.6</v>
      </c>
      <c r="I429">
        <f t="shared" si="69"/>
        <v>18.250001907348633</v>
      </c>
    </row>
    <row r="430" spans="1:9">
      <c r="A430" s="1">
        <v>33654</v>
      </c>
      <c r="B430">
        <f t="shared" si="66"/>
        <v>5778.6097283363342</v>
      </c>
      <c r="C430">
        <f t="shared" si="67"/>
        <v>15.408611297607422</v>
      </c>
      <c r="D430" s="1">
        <f t="shared" si="68"/>
        <v>33654</v>
      </c>
      <c r="E430">
        <f t="shared" si="70"/>
        <v>1992</v>
      </c>
      <c r="F430" s="13">
        <f t="shared" si="71"/>
        <v>51</v>
      </c>
      <c r="G430">
        <v>28.8</v>
      </c>
      <c r="H430">
        <v>21.1</v>
      </c>
      <c r="I430">
        <f t="shared" si="69"/>
        <v>16.94999885559082</v>
      </c>
    </row>
    <row r="431" spans="1:9">
      <c r="A431" s="1">
        <v>33655</v>
      </c>
      <c r="B431">
        <f t="shared" si="66"/>
        <v>5793.9097294807434</v>
      </c>
      <c r="C431">
        <f t="shared" si="67"/>
        <v>15.415385246276855</v>
      </c>
      <c r="D431" s="1">
        <f t="shared" si="68"/>
        <v>33655</v>
      </c>
      <c r="E431">
        <f t="shared" si="70"/>
        <v>1992</v>
      </c>
      <c r="F431" s="13">
        <f t="shared" si="71"/>
        <v>52</v>
      </c>
      <c r="G431">
        <v>25</v>
      </c>
      <c r="H431">
        <v>21.6</v>
      </c>
      <c r="I431">
        <f t="shared" si="69"/>
        <v>15.30000114440918</v>
      </c>
    </row>
    <row r="432" spans="1:9">
      <c r="A432" s="1">
        <v>33656</v>
      </c>
      <c r="B432">
        <f t="shared" si="66"/>
        <v>5812.0597290992737</v>
      </c>
      <c r="C432">
        <f t="shared" si="67"/>
        <v>15.42236328125</v>
      </c>
      <c r="D432" s="1">
        <f t="shared" si="68"/>
        <v>33656</v>
      </c>
      <c r="E432">
        <f t="shared" si="70"/>
        <v>1992</v>
      </c>
      <c r="F432" s="13">
        <f t="shared" si="71"/>
        <v>53</v>
      </c>
      <c r="G432">
        <v>30</v>
      </c>
      <c r="H432">
        <v>22.3</v>
      </c>
      <c r="I432">
        <f t="shared" si="69"/>
        <v>18.149999618530273</v>
      </c>
    </row>
    <row r="433" spans="1:9">
      <c r="A433" s="1">
        <v>33657</v>
      </c>
      <c r="B433">
        <f t="shared" si="66"/>
        <v>5832.209728717804</v>
      </c>
      <c r="C433">
        <f t="shared" si="67"/>
        <v>15.429548263549805</v>
      </c>
      <c r="D433" s="1">
        <f t="shared" si="68"/>
        <v>33657</v>
      </c>
      <c r="E433">
        <f t="shared" si="70"/>
        <v>1992</v>
      </c>
      <c r="F433" s="13">
        <f t="shared" si="71"/>
        <v>54</v>
      </c>
      <c r="G433">
        <v>32</v>
      </c>
      <c r="H433">
        <v>24.3</v>
      </c>
      <c r="I433">
        <f t="shared" si="69"/>
        <v>20.149999618530273</v>
      </c>
    </row>
    <row r="434" spans="1:9">
      <c r="A434" s="1">
        <v>33658</v>
      </c>
      <c r="B434">
        <f t="shared" si="66"/>
        <v>5853.8597283363342</v>
      </c>
      <c r="C434">
        <f t="shared" si="67"/>
        <v>15.436941146850586</v>
      </c>
      <c r="D434" s="1">
        <f t="shared" si="68"/>
        <v>33658</v>
      </c>
      <c r="E434">
        <f t="shared" si="70"/>
        <v>1992</v>
      </c>
      <c r="F434" s="13">
        <f t="shared" si="71"/>
        <v>55</v>
      </c>
      <c r="G434">
        <v>34.1</v>
      </c>
      <c r="H434">
        <v>25.2</v>
      </c>
      <c r="I434">
        <f t="shared" si="69"/>
        <v>21.649999618530273</v>
      </c>
    </row>
    <row r="435" spans="1:9">
      <c r="A435" s="1">
        <v>33659</v>
      </c>
      <c r="B435">
        <f t="shared" si="66"/>
        <v>5871.209728717804</v>
      </c>
      <c r="C435">
        <f t="shared" si="67"/>
        <v>15.444545745849609</v>
      </c>
      <c r="D435" s="1">
        <f t="shared" si="68"/>
        <v>33659</v>
      </c>
      <c r="E435">
        <f t="shared" si="70"/>
        <v>1992</v>
      </c>
      <c r="F435" s="13">
        <f t="shared" si="71"/>
        <v>56</v>
      </c>
      <c r="G435">
        <v>28.1</v>
      </c>
      <c r="H435">
        <v>22.6</v>
      </c>
      <c r="I435">
        <f t="shared" si="69"/>
        <v>17.350000381469727</v>
      </c>
    </row>
    <row r="436" spans="1:9">
      <c r="A436" s="1">
        <v>33660</v>
      </c>
      <c r="B436">
        <f t="shared" si="66"/>
        <v>5886.209728717804</v>
      </c>
      <c r="C436">
        <f t="shared" si="67"/>
        <v>15.452363014221191</v>
      </c>
      <c r="D436" s="1">
        <f t="shared" si="68"/>
        <v>33660</v>
      </c>
      <c r="E436">
        <f t="shared" si="70"/>
        <v>1992</v>
      </c>
      <c r="F436" s="13">
        <f t="shared" si="71"/>
        <v>57</v>
      </c>
      <c r="G436">
        <v>25</v>
      </c>
      <c r="H436">
        <v>21</v>
      </c>
      <c r="I436">
        <f t="shared" si="69"/>
        <v>15</v>
      </c>
    </row>
    <row r="437" spans="1:9">
      <c r="A437" s="1">
        <v>33661</v>
      </c>
      <c r="B437">
        <f t="shared" si="66"/>
        <v>5901.3097290992737</v>
      </c>
      <c r="C437">
        <f t="shared" si="67"/>
        <v>15.460393905639648</v>
      </c>
      <c r="D437" s="1">
        <f t="shared" si="68"/>
        <v>33661</v>
      </c>
      <c r="E437">
        <f t="shared" si="70"/>
        <v>1992</v>
      </c>
      <c r="F437" s="13">
        <f t="shared" si="71"/>
        <v>58</v>
      </c>
      <c r="G437">
        <v>27</v>
      </c>
      <c r="H437">
        <v>19.2</v>
      </c>
      <c r="I437">
        <f t="shared" si="69"/>
        <v>15.100000381469727</v>
      </c>
    </row>
    <row r="438" spans="1:9">
      <c r="A438" s="1">
        <v>33662</v>
      </c>
      <c r="B438">
        <f t="shared" si="66"/>
        <v>5915.7451500892639</v>
      </c>
      <c r="C438">
        <f t="shared" si="67"/>
        <v>15.46864128112793</v>
      </c>
      <c r="D438" s="1">
        <f t="shared" si="68"/>
        <v>33662</v>
      </c>
      <c r="E438">
        <f t="shared" si="70"/>
        <v>1992</v>
      </c>
      <c r="F438" s="13">
        <f t="shared" si="71"/>
        <v>59</v>
      </c>
      <c r="G438">
        <v>28.3</v>
      </c>
      <c r="H438">
        <v>16.399999999999999</v>
      </c>
      <c r="I438">
        <f t="shared" si="69"/>
        <v>14.435420989990234</v>
      </c>
    </row>
    <row r="439" spans="1:9">
      <c r="A439" s="1">
        <v>33663</v>
      </c>
      <c r="B439">
        <f t="shared" si="66"/>
        <v>5929.3122296333313</v>
      </c>
      <c r="C439">
        <f t="shared" si="67"/>
        <v>15.477105140686035</v>
      </c>
      <c r="D439" s="1">
        <f t="shared" si="68"/>
        <v>33663</v>
      </c>
      <c r="E439">
        <f t="shared" si="70"/>
        <v>1992</v>
      </c>
      <c r="F439" s="13">
        <f t="shared" si="71"/>
        <v>60</v>
      </c>
      <c r="G439">
        <v>27.1</v>
      </c>
      <c r="H439">
        <v>15.7</v>
      </c>
      <c r="I439">
        <f t="shared" si="69"/>
        <v>13.567079544067383</v>
      </c>
    </row>
    <row r="440" spans="1:9">
      <c r="A440" s="1">
        <v>33664</v>
      </c>
      <c r="B440">
        <f t="shared" si="66"/>
        <v>5943.5220789909363</v>
      </c>
      <c r="C440">
        <f t="shared" si="67"/>
        <v>15.485787391662598</v>
      </c>
      <c r="D440" s="1">
        <f t="shared" si="68"/>
        <v>33664</v>
      </c>
      <c r="E440">
        <f t="shared" si="70"/>
        <v>1992</v>
      </c>
      <c r="F440" s="13">
        <f t="shared" si="71"/>
        <v>61</v>
      </c>
      <c r="G440">
        <v>27.6</v>
      </c>
      <c r="H440">
        <v>16.7</v>
      </c>
      <c r="I440">
        <f t="shared" si="69"/>
        <v>14.20984935760498</v>
      </c>
    </row>
    <row r="441" spans="1:9">
      <c r="A441" s="1">
        <v>33665</v>
      </c>
      <c r="B441">
        <f t="shared" si="66"/>
        <v>5957.1433272361755</v>
      </c>
      <c r="C441">
        <f t="shared" si="67"/>
        <v>15.49468994140625</v>
      </c>
      <c r="D441" s="1">
        <f t="shared" si="68"/>
        <v>33665</v>
      </c>
      <c r="E441">
        <f t="shared" si="70"/>
        <v>1992</v>
      </c>
      <c r="F441" s="13">
        <f t="shared" si="71"/>
        <v>62</v>
      </c>
      <c r="G441">
        <v>26</v>
      </c>
      <c r="H441">
        <v>17.2</v>
      </c>
      <c r="I441">
        <f t="shared" si="69"/>
        <v>13.621248245239258</v>
      </c>
    </row>
    <row r="442" spans="1:9">
      <c r="A442" s="1">
        <v>33666</v>
      </c>
      <c r="B442">
        <f t="shared" si="66"/>
        <v>5971.2433276176453</v>
      </c>
      <c r="C442">
        <f t="shared" si="67"/>
        <v>15.503815650939941</v>
      </c>
      <c r="D442" s="1">
        <f t="shared" si="68"/>
        <v>33666</v>
      </c>
      <c r="E442">
        <f t="shared" si="70"/>
        <v>1992</v>
      </c>
      <c r="F442" s="13">
        <f t="shared" si="71"/>
        <v>63</v>
      </c>
      <c r="G442">
        <v>25.6</v>
      </c>
      <c r="H442">
        <v>18.600000000000001</v>
      </c>
      <c r="I442">
        <f t="shared" si="69"/>
        <v>14.100000381469727</v>
      </c>
    </row>
    <row r="443" spans="1:9">
      <c r="A443" s="1">
        <v>33667</v>
      </c>
      <c r="B443">
        <f t="shared" si="66"/>
        <v>5986.9433274269104</v>
      </c>
      <c r="C443">
        <f t="shared" si="67"/>
        <v>15.513160705566406</v>
      </c>
      <c r="D443" s="1">
        <f t="shared" si="68"/>
        <v>33667</v>
      </c>
      <c r="E443">
        <f t="shared" si="70"/>
        <v>1992</v>
      </c>
      <c r="F443" s="13">
        <f t="shared" si="71"/>
        <v>64</v>
      </c>
      <c r="G443">
        <v>28.5</v>
      </c>
      <c r="H443">
        <v>18.899999999999999</v>
      </c>
      <c r="I443">
        <f t="shared" si="69"/>
        <v>15.699999809265137</v>
      </c>
    </row>
    <row r="444" spans="1:9">
      <c r="A444" s="1">
        <v>33668</v>
      </c>
      <c r="B444">
        <f t="shared" ref="B444:B500" si="72">B443+I444</f>
        <v>6002.1567692756653</v>
      </c>
      <c r="C444">
        <f t="shared" ref="C444:C500" si="73">day_length(F444,$I$7,$C$13)</f>
        <v>15.522730827331543</v>
      </c>
      <c r="D444" s="1">
        <f t="shared" ref="D444:D500" si="74">A444</f>
        <v>33668</v>
      </c>
      <c r="E444">
        <f t="shared" si="70"/>
        <v>1992</v>
      </c>
      <c r="F444" s="13">
        <f t="shared" si="71"/>
        <v>65</v>
      </c>
      <c r="G444">
        <v>29.8</v>
      </c>
      <c r="H444">
        <v>16.5</v>
      </c>
      <c r="I444">
        <f t="shared" si="69"/>
        <v>15.213441848754883</v>
      </c>
    </row>
    <row r="445" spans="1:9">
      <c r="A445" s="1">
        <v>33669</v>
      </c>
      <c r="B445">
        <f t="shared" si="72"/>
        <v>6017.3606553077698</v>
      </c>
      <c r="C445">
        <f t="shared" si="73"/>
        <v>15.532522201538086</v>
      </c>
      <c r="D445" s="1">
        <f t="shared" si="74"/>
        <v>33669</v>
      </c>
      <c r="E445">
        <f t="shared" si="70"/>
        <v>1992</v>
      </c>
      <c r="F445" s="13">
        <f t="shared" si="71"/>
        <v>66</v>
      </c>
      <c r="G445">
        <v>29.7</v>
      </c>
      <c r="H445">
        <v>16.600000000000001</v>
      </c>
      <c r="I445">
        <f t="shared" si="69"/>
        <v>15.203886032104492</v>
      </c>
    </row>
    <row r="446" spans="1:9">
      <c r="A446" s="1">
        <v>33670</v>
      </c>
      <c r="B446">
        <f t="shared" si="72"/>
        <v>6032.3155598640442</v>
      </c>
      <c r="C446">
        <f t="shared" si="73"/>
        <v>15.542539596557617</v>
      </c>
      <c r="D446" s="1">
        <f t="shared" si="74"/>
        <v>33670</v>
      </c>
      <c r="E446">
        <f t="shared" si="70"/>
        <v>1992</v>
      </c>
      <c r="F446" s="13">
        <f t="shared" si="71"/>
        <v>67</v>
      </c>
      <c r="G446">
        <v>30</v>
      </c>
      <c r="H446">
        <v>15.6</v>
      </c>
      <c r="I446">
        <f t="shared" si="69"/>
        <v>14.954904556274414</v>
      </c>
    </row>
    <row r="447" spans="1:9">
      <c r="A447" s="1">
        <v>33671</v>
      </c>
      <c r="B447">
        <f t="shared" si="72"/>
        <v>6047.3294262886047</v>
      </c>
      <c r="C447">
        <f t="shared" si="73"/>
        <v>15.552781105041504</v>
      </c>
      <c r="D447" s="1">
        <f t="shared" si="74"/>
        <v>33671</v>
      </c>
      <c r="E447">
        <f t="shared" si="70"/>
        <v>1992</v>
      </c>
      <c r="F447" s="13">
        <f t="shared" si="71"/>
        <v>68</v>
      </c>
      <c r="G447">
        <v>28.8</v>
      </c>
      <c r="H447">
        <v>17.2</v>
      </c>
      <c r="I447">
        <f t="shared" si="69"/>
        <v>15.013866424560547</v>
      </c>
    </row>
    <row r="448" spans="1:9">
      <c r="A448" s="1">
        <v>33672</v>
      </c>
      <c r="B448">
        <f t="shared" si="72"/>
        <v>6061.4967503547668</v>
      </c>
      <c r="C448">
        <f t="shared" si="73"/>
        <v>15.563248634338379</v>
      </c>
      <c r="D448" s="1">
        <f t="shared" si="74"/>
        <v>33672</v>
      </c>
      <c r="E448">
        <f t="shared" si="70"/>
        <v>1992</v>
      </c>
      <c r="F448" s="13">
        <f t="shared" si="71"/>
        <v>69</v>
      </c>
      <c r="G448">
        <v>28.4</v>
      </c>
      <c r="H448">
        <v>15.6</v>
      </c>
      <c r="I448">
        <f t="shared" si="69"/>
        <v>14.167324066162109</v>
      </c>
    </row>
    <row r="449" spans="1:9">
      <c r="A449" s="1">
        <v>33673</v>
      </c>
      <c r="B449">
        <f t="shared" si="72"/>
        <v>6075.2306199073792</v>
      </c>
      <c r="C449">
        <f t="shared" si="73"/>
        <v>15.573940277099609</v>
      </c>
      <c r="D449" s="1">
        <f t="shared" si="74"/>
        <v>33673</v>
      </c>
      <c r="E449">
        <f t="shared" si="70"/>
        <v>1992</v>
      </c>
      <c r="F449" s="13">
        <f t="shared" si="71"/>
        <v>70</v>
      </c>
      <c r="G449">
        <v>27.6</v>
      </c>
      <c r="H449">
        <v>15.5</v>
      </c>
      <c r="I449">
        <f t="shared" si="69"/>
        <v>13.733869552612305</v>
      </c>
    </row>
    <row r="450" spans="1:9">
      <c r="A450" s="1">
        <v>33674</v>
      </c>
      <c r="B450">
        <f t="shared" si="72"/>
        <v>6089.5381188392639</v>
      </c>
      <c r="C450">
        <f t="shared" si="73"/>
        <v>15.584859848022461</v>
      </c>
      <c r="D450" s="1">
        <f t="shared" si="74"/>
        <v>33674</v>
      </c>
      <c r="E450">
        <f t="shared" si="70"/>
        <v>1992</v>
      </c>
      <c r="F450" s="13">
        <f t="shared" si="71"/>
        <v>71</v>
      </c>
      <c r="G450">
        <v>27.2</v>
      </c>
      <c r="H450">
        <v>17.399999999999999</v>
      </c>
      <c r="I450">
        <f t="shared" si="69"/>
        <v>14.307498931884766</v>
      </c>
    </row>
    <row r="451" spans="1:9">
      <c r="A451" s="1">
        <v>33675</v>
      </c>
      <c r="B451">
        <f t="shared" si="72"/>
        <v>6110.0381188392639</v>
      </c>
      <c r="C451">
        <f t="shared" si="73"/>
        <v>15.596000671386719</v>
      </c>
      <c r="D451" s="1">
        <f t="shared" si="74"/>
        <v>33675</v>
      </c>
      <c r="E451">
        <f t="shared" si="70"/>
        <v>1992</v>
      </c>
      <c r="F451" s="13">
        <f t="shared" si="71"/>
        <v>72</v>
      </c>
      <c r="G451">
        <v>33</v>
      </c>
      <c r="H451">
        <v>24</v>
      </c>
      <c r="I451">
        <f t="shared" si="69"/>
        <v>20.5</v>
      </c>
    </row>
    <row r="452" spans="1:9">
      <c r="A452" s="1">
        <v>33676</v>
      </c>
      <c r="B452">
        <f t="shared" si="72"/>
        <v>6125.9381165504456</v>
      </c>
      <c r="C452">
        <f t="shared" si="73"/>
        <v>15.607370376586914</v>
      </c>
      <c r="D452" s="1">
        <f t="shared" si="74"/>
        <v>33676</v>
      </c>
      <c r="E452">
        <f t="shared" si="70"/>
        <v>1992</v>
      </c>
      <c r="F452" s="13">
        <f t="shared" si="71"/>
        <v>73</v>
      </c>
      <c r="G452">
        <v>28.3</v>
      </c>
      <c r="H452">
        <v>19.5</v>
      </c>
      <c r="I452">
        <f t="shared" si="69"/>
        <v>15.899997711181641</v>
      </c>
    </row>
    <row r="453" spans="1:9">
      <c r="A453" s="1">
        <v>33677</v>
      </c>
      <c r="B453">
        <f t="shared" si="72"/>
        <v>6141.3881163597107</v>
      </c>
      <c r="C453">
        <f t="shared" si="73"/>
        <v>15.618963241577148</v>
      </c>
      <c r="D453" s="1">
        <f t="shared" si="74"/>
        <v>33677</v>
      </c>
      <c r="E453">
        <f t="shared" si="70"/>
        <v>1992</v>
      </c>
      <c r="F453" s="13">
        <f t="shared" si="71"/>
        <v>74</v>
      </c>
      <c r="G453">
        <v>27.4</v>
      </c>
      <c r="H453">
        <v>19.5</v>
      </c>
      <c r="I453">
        <f t="shared" si="69"/>
        <v>15.449999809265137</v>
      </c>
    </row>
    <row r="454" spans="1:9">
      <c r="A454" s="1">
        <v>33678</v>
      </c>
      <c r="B454">
        <f t="shared" si="72"/>
        <v>6155.9381155967712</v>
      </c>
      <c r="C454">
        <f t="shared" si="73"/>
        <v>15.630780220031738</v>
      </c>
      <c r="D454" s="1">
        <f t="shared" si="74"/>
        <v>33678</v>
      </c>
      <c r="E454">
        <f t="shared" si="70"/>
        <v>1992</v>
      </c>
      <c r="F454" s="13">
        <f t="shared" si="71"/>
        <v>75</v>
      </c>
      <c r="G454">
        <v>24.6</v>
      </c>
      <c r="H454">
        <v>20.5</v>
      </c>
      <c r="I454">
        <f t="shared" si="69"/>
        <v>14.549999237060547</v>
      </c>
    </row>
    <row r="455" spans="1:9">
      <c r="A455" s="1">
        <v>33679</v>
      </c>
      <c r="B455">
        <f t="shared" si="72"/>
        <v>6170.788115978241</v>
      </c>
      <c r="C455">
        <f t="shared" si="73"/>
        <v>15.642819404602051</v>
      </c>
      <c r="D455" s="1">
        <f t="shared" si="74"/>
        <v>33679</v>
      </c>
      <c r="E455">
        <f t="shared" si="70"/>
        <v>1992</v>
      </c>
      <c r="F455" s="13">
        <f t="shared" si="71"/>
        <v>76</v>
      </c>
      <c r="G455">
        <v>25.5</v>
      </c>
      <c r="H455">
        <v>20.2</v>
      </c>
      <c r="I455">
        <f t="shared" si="69"/>
        <v>14.850000381469727</v>
      </c>
    </row>
    <row r="456" spans="1:9">
      <c r="A456" s="1">
        <v>33680</v>
      </c>
      <c r="B456">
        <f t="shared" si="72"/>
        <v>6188.9881167411804</v>
      </c>
      <c r="C456">
        <f t="shared" si="73"/>
        <v>15.655082702636719</v>
      </c>
      <c r="D456" s="1">
        <f t="shared" si="74"/>
        <v>33680</v>
      </c>
      <c r="E456">
        <f t="shared" si="70"/>
        <v>1992</v>
      </c>
      <c r="F456" s="13">
        <f t="shared" si="71"/>
        <v>77</v>
      </c>
      <c r="G456">
        <v>32.700000000000003</v>
      </c>
      <c r="H456">
        <v>19.7</v>
      </c>
      <c r="I456">
        <f t="shared" si="69"/>
        <v>18.200000762939453</v>
      </c>
    </row>
    <row r="457" spans="1:9">
      <c r="A457" s="1">
        <v>33681</v>
      </c>
      <c r="B457">
        <f t="shared" si="72"/>
        <v>6203.0584225654602</v>
      </c>
      <c r="C457">
        <f t="shared" si="73"/>
        <v>15.667567253112793</v>
      </c>
      <c r="D457" s="1">
        <f t="shared" si="74"/>
        <v>33681</v>
      </c>
      <c r="E457">
        <f t="shared" si="70"/>
        <v>1992</v>
      </c>
      <c r="F457" s="13">
        <f t="shared" si="71"/>
        <v>78</v>
      </c>
      <c r="G457">
        <v>27.8</v>
      </c>
      <c r="H457">
        <v>16.100000000000001</v>
      </c>
      <c r="I457">
        <f t="shared" si="69"/>
        <v>14.070305824279785</v>
      </c>
    </row>
    <row r="458" spans="1:9">
      <c r="A458" s="1">
        <v>33682</v>
      </c>
      <c r="B458">
        <f t="shared" si="72"/>
        <v>6216.1100125312805</v>
      </c>
      <c r="C458">
        <f t="shared" si="73"/>
        <v>15.680273056030273</v>
      </c>
      <c r="D458" s="1">
        <f t="shared" si="74"/>
        <v>33682</v>
      </c>
      <c r="E458">
        <f t="shared" si="70"/>
        <v>1992</v>
      </c>
      <c r="F458" s="13">
        <f t="shared" si="71"/>
        <v>79</v>
      </c>
      <c r="G458">
        <v>27.3</v>
      </c>
      <c r="H458">
        <v>14</v>
      </c>
      <c r="I458">
        <f t="shared" si="69"/>
        <v>13.051589965820313</v>
      </c>
    </row>
    <row r="459" spans="1:9">
      <c r="A459" s="1">
        <v>33683</v>
      </c>
      <c r="B459">
        <f t="shared" si="72"/>
        <v>6229.8364157676697</v>
      </c>
      <c r="C459">
        <f t="shared" si="73"/>
        <v>15.693195343017578</v>
      </c>
      <c r="D459" s="1">
        <f t="shared" si="74"/>
        <v>33683</v>
      </c>
      <c r="E459">
        <f t="shared" si="70"/>
        <v>1992</v>
      </c>
      <c r="F459" s="13">
        <f t="shared" si="71"/>
        <v>80</v>
      </c>
      <c r="G459">
        <v>29</v>
      </c>
      <c r="H459">
        <v>13.6</v>
      </c>
      <c r="I459">
        <f t="shared" si="69"/>
        <v>13.72640323638916</v>
      </c>
    </row>
    <row r="460" spans="1:9">
      <c r="A460" s="1">
        <v>33684</v>
      </c>
      <c r="B460">
        <f t="shared" si="72"/>
        <v>6246.0410361289978</v>
      </c>
      <c r="C460">
        <f t="shared" si="73"/>
        <v>15.706336975097656</v>
      </c>
      <c r="D460" s="1">
        <f t="shared" si="74"/>
        <v>33684</v>
      </c>
      <c r="E460">
        <f t="shared" si="70"/>
        <v>1992</v>
      </c>
      <c r="F460" s="13">
        <f t="shared" si="71"/>
        <v>81</v>
      </c>
      <c r="G460">
        <v>32.700000000000003</v>
      </c>
      <c r="H460">
        <v>15.4</v>
      </c>
      <c r="I460">
        <f t="shared" si="69"/>
        <v>16.204620361328125</v>
      </c>
    </row>
    <row r="461" spans="1:9">
      <c r="A461" s="1">
        <v>33685</v>
      </c>
      <c r="B461">
        <f t="shared" si="72"/>
        <v>6261.7276005744934</v>
      </c>
      <c r="C461">
        <f t="shared" si="73"/>
        <v>15.719695091247559</v>
      </c>
      <c r="D461" s="1">
        <f t="shared" si="74"/>
        <v>33685</v>
      </c>
      <c r="E461">
        <f t="shared" si="70"/>
        <v>1992</v>
      </c>
      <c r="F461" s="13">
        <f t="shared" si="71"/>
        <v>82</v>
      </c>
      <c r="G461">
        <v>30.6</v>
      </c>
      <c r="H461">
        <v>16.7</v>
      </c>
      <c r="I461">
        <f t="shared" si="69"/>
        <v>15.686564445495605</v>
      </c>
    </row>
    <row r="462" spans="1:9">
      <c r="A462" s="1">
        <v>33686</v>
      </c>
      <c r="B462">
        <f t="shared" si="72"/>
        <v>6275.3548913002014</v>
      </c>
      <c r="C462">
        <f t="shared" si="73"/>
        <v>15.733263969421387</v>
      </c>
      <c r="D462" s="1">
        <f t="shared" si="74"/>
        <v>33686</v>
      </c>
      <c r="E462">
        <f t="shared" si="70"/>
        <v>1992</v>
      </c>
      <c r="F462" s="13">
        <f t="shared" si="71"/>
        <v>83</v>
      </c>
      <c r="G462">
        <v>26.9</v>
      </c>
      <c r="H462">
        <v>16.100000000000001</v>
      </c>
      <c r="I462">
        <f t="shared" si="69"/>
        <v>13.627290725708008</v>
      </c>
    </row>
    <row r="463" spans="1:9">
      <c r="A463" s="1">
        <v>33687</v>
      </c>
      <c r="B463">
        <f t="shared" si="72"/>
        <v>6291.1048922538757</v>
      </c>
      <c r="C463">
        <f t="shared" si="73"/>
        <v>15.74704647064209</v>
      </c>
      <c r="D463" s="1">
        <f t="shared" si="74"/>
        <v>33687</v>
      </c>
      <c r="E463">
        <f t="shared" si="70"/>
        <v>1992</v>
      </c>
      <c r="F463" s="13">
        <f t="shared" si="71"/>
        <v>84</v>
      </c>
      <c r="G463">
        <v>28.9</v>
      </c>
      <c r="H463">
        <v>18.600000000000001</v>
      </c>
      <c r="I463">
        <f t="shared" ref="I463:I500" si="75">tt(G463,H463,$C$6:$F$6,$C$7:$F$7)</f>
        <v>15.750000953674316</v>
      </c>
    </row>
    <row r="464" spans="1:9">
      <c r="A464" s="1">
        <v>33688</v>
      </c>
      <c r="B464">
        <f t="shared" si="72"/>
        <v>6305.540313243866</v>
      </c>
      <c r="C464">
        <f t="shared" si="73"/>
        <v>15.761040687561035</v>
      </c>
      <c r="D464" s="1">
        <f t="shared" si="74"/>
        <v>33688</v>
      </c>
      <c r="E464">
        <f t="shared" ref="E464:E500" si="76">YEAR(A464)</f>
        <v>1992</v>
      </c>
      <c r="F464" s="13">
        <f t="shared" ref="F464:F500" si="77">A464-DATE(E464,1,1)+1</f>
        <v>85</v>
      </c>
      <c r="G464">
        <v>28.3</v>
      </c>
      <c r="H464">
        <v>16.399999999999999</v>
      </c>
      <c r="I464">
        <f t="shared" si="75"/>
        <v>14.435420989990234</v>
      </c>
    </row>
    <row r="465" spans="1:9">
      <c r="A465" s="1">
        <v>33689</v>
      </c>
      <c r="B465">
        <f t="shared" si="72"/>
        <v>6321.290313243866</v>
      </c>
      <c r="C465">
        <f t="shared" si="73"/>
        <v>15.775238037109375</v>
      </c>
      <c r="D465" s="1">
        <f t="shared" si="74"/>
        <v>33689</v>
      </c>
      <c r="E465">
        <f t="shared" si="76"/>
        <v>1992</v>
      </c>
      <c r="F465" s="13">
        <f t="shared" si="77"/>
        <v>86</v>
      </c>
      <c r="G465">
        <v>29.5</v>
      </c>
      <c r="H465">
        <v>18</v>
      </c>
      <c r="I465">
        <f t="shared" si="75"/>
        <v>15.75</v>
      </c>
    </row>
    <row r="466" spans="1:9">
      <c r="A466" s="1">
        <v>33690</v>
      </c>
      <c r="B466">
        <f t="shared" si="72"/>
        <v>6337.3903117179871</v>
      </c>
      <c r="C466">
        <f t="shared" si="73"/>
        <v>15.789641380310059</v>
      </c>
      <c r="D466" s="1">
        <f t="shared" si="74"/>
        <v>33690</v>
      </c>
      <c r="E466">
        <f t="shared" si="76"/>
        <v>1992</v>
      </c>
      <c r="F466" s="13">
        <f t="shared" si="77"/>
        <v>87</v>
      </c>
      <c r="G466">
        <v>29.7</v>
      </c>
      <c r="H466">
        <v>18.5</v>
      </c>
      <c r="I466">
        <f t="shared" si="75"/>
        <v>16.099998474121094</v>
      </c>
    </row>
    <row r="467" spans="1:9">
      <c r="A467" s="1">
        <v>33691</v>
      </c>
      <c r="B467">
        <f t="shared" si="72"/>
        <v>6354.8403143882751</v>
      </c>
      <c r="C467">
        <f t="shared" si="73"/>
        <v>15.80424690246582</v>
      </c>
      <c r="D467" s="1">
        <f t="shared" si="74"/>
        <v>33691</v>
      </c>
      <c r="E467">
        <f t="shared" si="76"/>
        <v>1992</v>
      </c>
      <c r="F467" s="13">
        <f t="shared" si="77"/>
        <v>88</v>
      </c>
      <c r="G467">
        <v>31.2</v>
      </c>
      <c r="H467">
        <v>19.7</v>
      </c>
      <c r="I467">
        <f t="shared" si="75"/>
        <v>17.450002670288086</v>
      </c>
    </row>
    <row r="468" spans="1:9">
      <c r="A468" s="1">
        <v>33692</v>
      </c>
      <c r="B468">
        <f t="shared" si="72"/>
        <v>6370.6903147697449</v>
      </c>
      <c r="C468">
        <f t="shared" si="73"/>
        <v>15.819051742553711</v>
      </c>
      <c r="D468" s="1">
        <f t="shared" si="74"/>
        <v>33692</v>
      </c>
      <c r="E468">
        <f t="shared" si="76"/>
        <v>1992</v>
      </c>
      <c r="F468" s="13">
        <f t="shared" si="77"/>
        <v>89</v>
      </c>
      <c r="G468">
        <v>29.7</v>
      </c>
      <c r="H468">
        <v>18</v>
      </c>
      <c r="I468">
        <f t="shared" si="75"/>
        <v>15.850000381469727</v>
      </c>
    </row>
    <row r="469" spans="1:9">
      <c r="A469" s="1">
        <v>33693</v>
      </c>
      <c r="B469">
        <f t="shared" si="72"/>
        <v>6385.9403138160706</v>
      </c>
      <c r="C469">
        <f t="shared" si="73"/>
        <v>15.834050178527832</v>
      </c>
      <c r="D469" s="1">
        <f t="shared" si="74"/>
        <v>33693</v>
      </c>
      <c r="E469">
        <f t="shared" si="76"/>
        <v>1992</v>
      </c>
      <c r="F469" s="13">
        <f t="shared" si="77"/>
        <v>90</v>
      </c>
      <c r="G469">
        <v>28.5</v>
      </c>
      <c r="H469">
        <v>18</v>
      </c>
      <c r="I469">
        <f t="shared" si="75"/>
        <v>15.249999046325684</v>
      </c>
    </row>
    <row r="470" spans="1:9">
      <c r="A470" s="1">
        <v>33694</v>
      </c>
      <c r="B470">
        <f t="shared" si="72"/>
        <v>6402.0403141975403</v>
      </c>
      <c r="C470">
        <f t="shared" si="73"/>
        <v>15.8492431640625</v>
      </c>
      <c r="D470" s="1">
        <f t="shared" si="74"/>
        <v>33694</v>
      </c>
      <c r="E470">
        <f t="shared" si="76"/>
        <v>1992</v>
      </c>
      <c r="F470" s="13">
        <f t="shared" si="77"/>
        <v>91</v>
      </c>
      <c r="G470">
        <v>29.6</v>
      </c>
      <c r="H470">
        <v>18.600000000000001</v>
      </c>
      <c r="I470">
        <f t="shared" si="75"/>
        <v>16.100000381469727</v>
      </c>
    </row>
    <row r="471" spans="1:9">
      <c r="A471" s="1">
        <v>33695</v>
      </c>
      <c r="B471">
        <f t="shared" si="72"/>
        <v>6418.2403130531311</v>
      </c>
      <c r="C471">
        <f t="shared" si="73"/>
        <v>15.864622116088867</v>
      </c>
      <c r="D471" s="1">
        <f t="shared" si="74"/>
        <v>33695</v>
      </c>
      <c r="E471">
        <f t="shared" si="76"/>
        <v>1992</v>
      </c>
      <c r="F471" s="13">
        <f t="shared" si="77"/>
        <v>92</v>
      </c>
      <c r="G471">
        <v>29.3</v>
      </c>
      <c r="H471">
        <v>19.100000000000001</v>
      </c>
      <c r="I471">
        <f t="shared" si="75"/>
        <v>16.19999885559082</v>
      </c>
    </row>
    <row r="472" spans="1:9">
      <c r="A472" s="1">
        <v>33696</v>
      </c>
      <c r="B472">
        <f t="shared" si="72"/>
        <v>6433.4903130531311</v>
      </c>
      <c r="C472">
        <f t="shared" si="73"/>
        <v>15.880186080932617</v>
      </c>
      <c r="D472" s="1">
        <f t="shared" si="74"/>
        <v>33696</v>
      </c>
      <c r="E472">
        <f t="shared" si="76"/>
        <v>1992</v>
      </c>
      <c r="F472" s="13">
        <f t="shared" si="77"/>
        <v>93</v>
      </c>
      <c r="G472">
        <v>28.7</v>
      </c>
      <c r="H472">
        <v>17.8</v>
      </c>
      <c r="I472">
        <f t="shared" si="75"/>
        <v>15.25</v>
      </c>
    </row>
    <row r="473" spans="1:9">
      <c r="A473" s="1">
        <v>33697</v>
      </c>
      <c r="B473">
        <f t="shared" si="72"/>
        <v>6448.6903128623962</v>
      </c>
      <c r="C473">
        <f t="shared" si="73"/>
        <v>15.895932197570801</v>
      </c>
      <c r="D473" s="1">
        <f t="shared" si="74"/>
        <v>33697</v>
      </c>
      <c r="E473">
        <f t="shared" si="76"/>
        <v>1992</v>
      </c>
      <c r="F473" s="13">
        <f t="shared" si="77"/>
        <v>94</v>
      </c>
      <c r="G473">
        <v>26.9</v>
      </c>
      <c r="H473">
        <v>19.5</v>
      </c>
      <c r="I473">
        <f t="shared" si="75"/>
        <v>15.199999809265137</v>
      </c>
    </row>
    <row r="474" spans="1:9">
      <c r="A474" s="1">
        <v>33698</v>
      </c>
      <c r="B474">
        <f t="shared" si="72"/>
        <v>6462.8903117179871</v>
      </c>
      <c r="C474">
        <f t="shared" si="73"/>
        <v>15.911852836608887</v>
      </c>
      <c r="D474" s="1">
        <f t="shared" si="74"/>
        <v>33698</v>
      </c>
      <c r="E474">
        <f t="shared" si="76"/>
        <v>1992</v>
      </c>
      <c r="F474" s="13">
        <f t="shared" si="77"/>
        <v>95</v>
      </c>
      <c r="G474">
        <v>26.1</v>
      </c>
      <c r="H474">
        <v>18.3</v>
      </c>
      <c r="I474">
        <f t="shared" si="75"/>
        <v>14.19999885559082</v>
      </c>
    </row>
    <row r="475" spans="1:9">
      <c r="A475" s="1">
        <v>33699</v>
      </c>
      <c r="B475">
        <f t="shared" si="72"/>
        <v>6474.0714497566223</v>
      </c>
      <c r="C475">
        <f t="shared" si="73"/>
        <v>15.927945137023926</v>
      </c>
      <c r="D475" s="1">
        <f t="shared" si="74"/>
        <v>33699</v>
      </c>
      <c r="E475">
        <f t="shared" si="76"/>
        <v>1992</v>
      </c>
      <c r="F475" s="13">
        <f t="shared" si="77"/>
        <v>96</v>
      </c>
      <c r="G475">
        <v>22.3</v>
      </c>
      <c r="H475">
        <v>15.5</v>
      </c>
      <c r="I475">
        <f t="shared" si="75"/>
        <v>11.181138038635254</v>
      </c>
    </row>
    <row r="476" spans="1:9">
      <c r="A476" s="1">
        <v>33700</v>
      </c>
      <c r="B476">
        <f t="shared" si="72"/>
        <v>6487.7207159996033</v>
      </c>
      <c r="C476">
        <f t="shared" si="73"/>
        <v>15.944204330444336</v>
      </c>
      <c r="D476" s="1">
        <f t="shared" si="74"/>
        <v>33700</v>
      </c>
      <c r="E476">
        <f t="shared" si="76"/>
        <v>1992</v>
      </c>
      <c r="F476" s="13">
        <f t="shared" si="77"/>
        <v>97</v>
      </c>
      <c r="G476">
        <v>26.3</v>
      </c>
      <c r="H476">
        <v>16.899999999999999</v>
      </c>
      <c r="I476">
        <f t="shared" si="75"/>
        <v>13.649266242980957</v>
      </c>
    </row>
    <row r="477" spans="1:9">
      <c r="A477" s="1">
        <v>33701</v>
      </c>
      <c r="B477">
        <f t="shared" si="72"/>
        <v>6501.2686762809753</v>
      </c>
      <c r="C477">
        <f t="shared" si="73"/>
        <v>15.960625648498535</v>
      </c>
      <c r="D477" s="1">
        <f t="shared" si="74"/>
        <v>33701</v>
      </c>
      <c r="E477">
        <f t="shared" si="76"/>
        <v>1992</v>
      </c>
      <c r="F477" s="13">
        <f t="shared" si="77"/>
        <v>98</v>
      </c>
      <c r="G477">
        <v>26.9</v>
      </c>
      <c r="H477">
        <v>15.9</v>
      </c>
      <c r="I477">
        <f t="shared" si="75"/>
        <v>13.54796028137207</v>
      </c>
    </row>
    <row r="478" spans="1:9">
      <c r="A478" s="1">
        <v>33702</v>
      </c>
      <c r="B478">
        <f t="shared" si="72"/>
        <v>6513.2630476951599</v>
      </c>
      <c r="C478">
        <f t="shared" si="73"/>
        <v>15.977204322814941</v>
      </c>
      <c r="D478" s="1">
        <f t="shared" si="74"/>
        <v>33702</v>
      </c>
      <c r="E478">
        <f t="shared" si="76"/>
        <v>1992</v>
      </c>
      <c r="F478" s="13">
        <f t="shared" si="77"/>
        <v>99</v>
      </c>
      <c r="G478">
        <v>27.1</v>
      </c>
      <c r="H478">
        <v>11.2</v>
      </c>
      <c r="I478">
        <f t="shared" si="75"/>
        <v>11.99437141418457</v>
      </c>
    </row>
    <row r="479" spans="1:9">
      <c r="A479" s="1">
        <v>33703</v>
      </c>
      <c r="B479">
        <f t="shared" si="72"/>
        <v>6525.6343941688538</v>
      </c>
      <c r="C479">
        <f t="shared" si="73"/>
        <v>15.99393367767334</v>
      </c>
      <c r="D479" s="1">
        <f t="shared" si="74"/>
        <v>33703</v>
      </c>
      <c r="E479">
        <f t="shared" si="76"/>
        <v>1992</v>
      </c>
      <c r="F479" s="13">
        <f t="shared" si="77"/>
        <v>100</v>
      </c>
      <c r="G479">
        <v>25</v>
      </c>
      <c r="H479">
        <v>15.2</v>
      </c>
      <c r="I479">
        <f t="shared" si="75"/>
        <v>12.371346473693848</v>
      </c>
    </row>
    <row r="480" spans="1:9">
      <c r="A480" s="1">
        <v>33704</v>
      </c>
      <c r="B480">
        <f t="shared" si="72"/>
        <v>6536.8042435646057</v>
      </c>
      <c r="C480">
        <f t="shared" si="73"/>
        <v>16.010808944702148</v>
      </c>
      <c r="D480" s="1">
        <f t="shared" si="74"/>
        <v>33704</v>
      </c>
      <c r="E480">
        <f t="shared" si="76"/>
        <v>1992</v>
      </c>
      <c r="F480" s="13">
        <f t="shared" si="77"/>
        <v>101</v>
      </c>
      <c r="G480">
        <v>25.3</v>
      </c>
      <c r="H480">
        <v>11.2</v>
      </c>
      <c r="I480">
        <f t="shared" si="75"/>
        <v>11.169849395751953</v>
      </c>
    </row>
    <row r="481" spans="1:9">
      <c r="A481" s="1">
        <v>33705</v>
      </c>
      <c r="B481">
        <f t="shared" si="72"/>
        <v>6548.2393984794617</v>
      </c>
      <c r="C481">
        <f t="shared" si="73"/>
        <v>16.027824401855469</v>
      </c>
      <c r="D481" s="1">
        <f t="shared" si="74"/>
        <v>33705</v>
      </c>
      <c r="E481">
        <f t="shared" si="76"/>
        <v>1992</v>
      </c>
      <c r="F481" s="13">
        <f t="shared" si="77"/>
        <v>102</v>
      </c>
      <c r="G481">
        <v>25.6</v>
      </c>
      <c r="H481">
        <v>11.6</v>
      </c>
      <c r="I481">
        <f t="shared" si="75"/>
        <v>11.435154914855957</v>
      </c>
    </row>
    <row r="482" spans="1:9">
      <c r="A482" s="1">
        <v>33706</v>
      </c>
      <c r="B482">
        <f t="shared" si="72"/>
        <v>6559.2665944099426</v>
      </c>
      <c r="C482">
        <f t="shared" si="73"/>
        <v>16.044971466064453</v>
      </c>
      <c r="D482" s="1">
        <f t="shared" si="74"/>
        <v>33706</v>
      </c>
      <c r="E482">
        <f t="shared" si="76"/>
        <v>1992</v>
      </c>
      <c r="F482" s="13">
        <f t="shared" si="77"/>
        <v>103</v>
      </c>
      <c r="G482">
        <v>24.5</v>
      </c>
      <c r="H482">
        <v>11.9</v>
      </c>
      <c r="I482">
        <f t="shared" si="75"/>
        <v>11.027195930480957</v>
      </c>
    </row>
    <row r="483" spans="1:9">
      <c r="A483" s="1">
        <v>33707</v>
      </c>
      <c r="B483">
        <f t="shared" si="72"/>
        <v>6571.8852257728577</v>
      </c>
      <c r="C483">
        <f t="shared" si="73"/>
        <v>16.062248229980469</v>
      </c>
      <c r="D483" s="1">
        <f t="shared" si="74"/>
        <v>33707</v>
      </c>
      <c r="E483">
        <f t="shared" si="76"/>
        <v>1992</v>
      </c>
      <c r="F483" s="13">
        <f t="shared" si="77"/>
        <v>104</v>
      </c>
      <c r="G483">
        <v>25</v>
      </c>
      <c r="H483">
        <v>15.9</v>
      </c>
      <c r="I483">
        <f t="shared" si="75"/>
        <v>12.618631362915039</v>
      </c>
    </row>
    <row r="484" spans="1:9">
      <c r="A484" s="1">
        <v>33708</v>
      </c>
      <c r="B484">
        <f t="shared" si="72"/>
        <v>6584.1080174446106</v>
      </c>
      <c r="C484">
        <f t="shared" si="73"/>
        <v>16.079643249511719</v>
      </c>
      <c r="D484" s="1">
        <f t="shared" si="74"/>
        <v>33708</v>
      </c>
      <c r="E484">
        <f t="shared" si="76"/>
        <v>1992</v>
      </c>
      <c r="F484" s="13">
        <f t="shared" si="77"/>
        <v>105</v>
      </c>
      <c r="G484">
        <v>25.5</v>
      </c>
      <c r="H484">
        <v>14.1</v>
      </c>
      <c r="I484">
        <f t="shared" si="75"/>
        <v>12.22279167175293</v>
      </c>
    </row>
    <row r="485" spans="1:9">
      <c r="A485" s="1">
        <v>33709</v>
      </c>
      <c r="B485">
        <f t="shared" si="72"/>
        <v>6595.7040047645569</v>
      </c>
      <c r="C485">
        <f t="shared" si="73"/>
        <v>16.09715461730957</v>
      </c>
      <c r="D485" s="1">
        <f t="shared" si="74"/>
        <v>33709</v>
      </c>
      <c r="E485">
        <f t="shared" si="76"/>
        <v>1992</v>
      </c>
      <c r="F485" s="13">
        <f t="shared" si="77"/>
        <v>106</v>
      </c>
      <c r="G485">
        <v>23.9</v>
      </c>
      <c r="H485">
        <v>14.5</v>
      </c>
      <c r="I485">
        <f t="shared" si="75"/>
        <v>11.595987319946289</v>
      </c>
    </row>
    <row r="486" spans="1:9">
      <c r="A486" s="1">
        <v>33710</v>
      </c>
      <c r="B486">
        <f t="shared" si="72"/>
        <v>6608.5309567451477</v>
      </c>
      <c r="C486">
        <f t="shared" si="73"/>
        <v>16.114770889282227</v>
      </c>
      <c r="D486" s="1">
        <f t="shared" si="74"/>
        <v>33710</v>
      </c>
      <c r="E486">
        <f t="shared" si="76"/>
        <v>1992</v>
      </c>
      <c r="F486" s="13">
        <f t="shared" si="77"/>
        <v>107</v>
      </c>
      <c r="G486">
        <v>27.2</v>
      </c>
      <c r="H486">
        <v>13.5</v>
      </c>
      <c r="I486">
        <f t="shared" si="75"/>
        <v>12.82695198059082</v>
      </c>
    </row>
    <row r="487" spans="1:9">
      <c r="A487" s="1">
        <v>33711</v>
      </c>
      <c r="B487">
        <f t="shared" si="72"/>
        <v>6621.6504855155945</v>
      </c>
      <c r="C487">
        <f t="shared" si="73"/>
        <v>16.132488250732422</v>
      </c>
      <c r="D487" s="1">
        <f t="shared" si="74"/>
        <v>33711</v>
      </c>
      <c r="E487">
        <f t="shared" si="76"/>
        <v>1992</v>
      </c>
      <c r="F487" s="13">
        <f t="shared" si="77"/>
        <v>108</v>
      </c>
      <c r="G487">
        <v>27</v>
      </c>
      <c r="H487">
        <v>14.6</v>
      </c>
      <c r="I487">
        <f t="shared" si="75"/>
        <v>13.119528770446777</v>
      </c>
    </row>
    <row r="488" spans="1:9">
      <c r="A488" s="1">
        <v>33712</v>
      </c>
      <c r="B488">
        <f t="shared" si="72"/>
        <v>6633.4692893028259</v>
      </c>
      <c r="C488">
        <f t="shared" si="73"/>
        <v>16.150293350219727</v>
      </c>
      <c r="D488" s="1">
        <f t="shared" si="74"/>
        <v>33712</v>
      </c>
      <c r="E488">
        <f t="shared" si="76"/>
        <v>1992</v>
      </c>
      <c r="F488" s="13">
        <f t="shared" si="77"/>
        <v>109</v>
      </c>
      <c r="G488">
        <v>25.1</v>
      </c>
      <c r="H488">
        <v>13.5</v>
      </c>
      <c r="I488">
        <f t="shared" si="75"/>
        <v>11.818803787231445</v>
      </c>
    </row>
    <row r="489" spans="1:9">
      <c r="A489" s="1">
        <v>33713</v>
      </c>
      <c r="B489">
        <f t="shared" si="72"/>
        <v>6644.0541234016418</v>
      </c>
      <c r="C489">
        <f t="shared" si="73"/>
        <v>16.168184280395508</v>
      </c>
      <c r="D489" s="1">
        <f t="shared" si="74"/>
        <v>33713</v>
      </c>
      <c r="E489">
        <f t="shared" si="76"/>
        <v>1992</v>
      </c>
      <c r="F489" s="13">
        <f t="shared" si="77"/>
        <v>110</v>
      </c>
      <c r="G489">
        <v>25</v>
      </c>
      <c r="H489">
        <v>9.8000000000000007</v>
      </c>
      <c r="I489">
        <f t="shared" si="75"/>
        <v>10.584834098815918</v>
      </c>
    </row>
    <row r="490" spans="1:9">
      <c r="A490" s="1">
        <v>33714</v>
      </c>
      <c r="B490">
        <f t="shared" si="72"/>
        <v>6656.4164004325867</v>
      </c>
      <c r="C490">
        <f t="shared" si="73"/>
        <v>16.186149597167969</v>
      </c>
      <c r="D490" s="1">
        <f t="shared" si="74"/>
        <v>33714</v>
      </c>
      <c r="E490">
        <f t="shared" si="76"/>
        <v>1992</v>
      </c>
      <c r="F490" s="13">
        <f t="shared" si="77"/>
        <v>111</v>
      </c>
      <c r="G490">
        <v>26.6</v>
      </c>
      <c r="H490">
        <v>13</v>
      </c>
      <c r="I490">
        <f t="shared" si="75"/>
        <v>12.362277030944824</v>
      </c>
    </row>
    <row r="491" spans="1:9">
      <c r="A491" s="1">
        <v>33715</v>
      </c>
      <c r="B491">
        <f t="shared" si="72"/>
        <v>6669.0658240318298</v>
      </c>
      <c r="C491">
        <f t="shared" si="73"/>
        <v>16.204181671142578</v>
      </c>
      <c r="D491" s="1">
        <f t="shared" si="74"/>
        <v>33715</v>
      </c>
      <c r="E491">
        <f t="shared" si="76"/>
        <v>1992</v>
      </c>
      <c r="F491" s="13">
        <f t="shared" si="77"/>
        <v>112</v>
      </c>
      <c r="G491">
        <v>25.8</v>
      </c>
      <c r="H491">
        <v>14.9</v>
      </c>
      <c r="I491">
        <f t="shared" si="75"/>
        <v>12.649423599243164</v>
      </c>
    </row>
    <row r="492" spans="1:9">
      <c r="A492" s="1">
        <v>33716</v>
      </c>
      <c r="B492">
        <f t="shared" si="72"/>
        <v>6680.4697833061218</v>
      </c>
      <c r="C492">
        <f t="shared" si="73"/>
        <v>16.222272872924805</v>
      </c>
      <c r="D492" s="1">
        <f t="shared" si="74"/>
        <v>33716</v>
      </c>
      <c r="E492">
        <f t="shared" si="76"/>
        <v>1992</v>
      </c>
      <c r="F492" s="13">
        <f t="shared" si="77"/>
        <v>113</v>
      </c>
      <c r="G492">
        <v>23.5</v>
      </c>
      <c r="H492">
        <v>14.5</v>
      </c>
      <c r="I492">
        <f t="shared" si="75"/>
        <v>11.403959274291992</v>
      </c>
    </row>
    <row r="493" spans="1:9">
      <c r="A493" s="1">
        <v>33717</v>
      </c>
      <c r="B493">
        <f t="shared" si="72"/>
        <v>6692.3396334648132</v>
      </c>
      <c r="C493">
        <f t="shared" si="73"/>
        <v>16.240411758422852</v>
      </c>
      <c r="D493" s="1">
        <f t="shared" si="74"/>
        <v>33717</v>
      </c>
      <c r="E493">
        <f t="shared" si="76"/>
        <v>1992</v>
      </c>
      <c r="F493" s="13">
        <f t="shared" si="77"/>
        <v>114</v>
      </c>
      <c r="G493">
        <v>26.2</v>
      </c>
      <c r="H493">
        <v>12.1</v>
      </c>
      <c r="I493">
        <f t="shared" si="75"/>
        <v>11.869850158691406</v>
      </c>
    </row>
    <row r="494" spans="1:9">
      <c r="A494" s="1">
        <v>33718</v>
      </c>
      <c r="B494">
        <f t="shared" si="72"/>
        <v>6703.3296227455139</v>
      </c>
      <c r="C494" t="e">
        <f t="shared" si="73"/>
        <v>#VALUE!</v>
      </c>
      <c r="D494" s="1">
        <f t="shared" si="74"/>
        <v>33718</v>
      </c>
      <c r="E494">
        <f t="shared" si="76"/>
        <v>1992</v>
      </c>
      <c r="F494" s="13">
        <f t="shared" si="77"/>
        <v>115</v>
      </c>
      <c r="G494">
        <v>24</v>
      </c>
      <c r="H494">
        <v>12.5</v>
      </c>
      <c r="I494">
        <f t="shared" si="75"/>
        <v>10.989989280700684</v>
      </c>
    </row>
    <row r="495" spans="1:9">
      <c r="A495" s="1">
        <v>33719</v>
      </c>
      <c r="B495">
        <f t="shared" si="72"/>
        <v>6714.7776770591736</v>
      </c>
      <c r="C495">
        <f t="shared" si="73"/>
        <v>16.276802062988281</v>
      </c>
      <c r="D495" s="1">
        <f t="shared" si="74"/>
        <v>33719</v>
      </c>
      <c r="E495">
        <f t="shared" si="76"/>
        <v>1992</v>
      </c>
      <c r="F495" s="13">
        <f t="shared" si="77"/>
        <v>116</v>
      </c>
      <c r="G495">
        <v>25</v>
      </c>
      <c r="H495">
        <v>12.5</v>
      </c>
      <c r="I495">
        <f t="shared" si="75"/>
        <v>11.448054313659668</v>
      </c>
    </row>
    <row r="496" spans="1:9">
      <c r="A496" s="1">
        <v>33720</v>
      </c>
      <c r="B496">
        <f t="shared" si="72"/>
        <v>6725.2385497093201</v>
      </c>
      <c r="C496">
        <f t="shared" si="73"/>
        <v>16.295032501220703</v>
      </c>
      <c r="D496" s="1">
        <f t="shared" si="74"/>
        <v>33720</v>
      </c>
      <c r="E496">
        <f t="shared" si="76"/>
        <v>1992</v>
      </c>
      <c r="F496" s="13">
        <f t="shared" si="77"/>
        <v>117</v>
      </c>
      <c r="G496">
        <v>21.1</v>
      </c>
      <c r="H496">
        <v>15</v>
      </c>
      <c r="I496">
        <f t="shared" si="75"/>
        <v>10.460872650146484</v>
      </c>
    </row>
    <row r="497" spans="1:9">
      <c r="A497" s="1">
        <v>33721</v>
      </c>
      <c r="B497">
        <f t="shared" si="72"/>
        <v>6736.078209400177</v>
      </c>
      <c r="C497">
        <f t="shared" si="73"/>
        <v>16.313272476196289</v>
      </c>
      <c r="D497" s="1">
        <f t="shared" si="74"/>
        <v>33721</v>
      </c>
      <c r="E497">
        <f t="shared" si="76"/>
        <v>1992</v>
      </c>
      <c r="F497" s="13">
        <f t="shared" si="77"/>
        <v>118</v>
      </c>
      <c r="G497">
        <v>21</v>
      </c>
      <c r="H497">
        <v>16.3</v>
      </c>
      <c r="I497">
        <f t="shared" si="75"/>
        <v>10.839659690856934</v>
      </c>
    </row>
    <row r="498" spans="1:9">
      <c r="A498" s="1">
        <v>33722</v>
      </c>
      <c r="B498">
        <f t="shared" si="72"/>
        <v>6749.6878113746643</v>
      </c>
      <c r="C498">
        <f t="shared" si="73"/>
        <v>16.331514358520508</v>
      </c>
      <c r="D498" s="1">
        <f t="shared" si="74"/>
        <v>33722</v>
      </c>
      <c r="E498">
        <f t="shared" si="76"/>
        <v>1992</v>
      </c>
      <c r="F498" s="13">
        <f t="shared" si="77"/>
        <v>119</v>
      </c>
      <c r="G498">
        <v>26.3</v>
      </c>
      <c r="H498">
        <v>16.8</v>
      </c>
      <c r="I498">
        <f t="shared" si="75"/>
        <v>13.609601974487305</v>
      </c>
    </row>
    <row r="499" spans="1:9">
      <c r="A499" s="1">
        <v>33723</v>
      </c>
      <c r="B499">
        <f t="shared" si="72"/>
        <v>6765.0878119468689</v>
      </c>
      <c r="C499">
        <f t="shared" si="73"/>
        <v>16.349746704101562</v>
      </c>
      <c r="D499" s="1">
        <f t="shared" si="74"/>
        <v>33723</v>
      </c>
      <c r="E499">
        <f t="shared" si="76"/>
        <v>1992</v>
      </c>
      <c r="F499" s="13">
        <f t="shared" si="77"/>
        <v>120</v>
      </c>
      <c r="G499">
        <v>27.7</v>
      </c>
      <c r="H499">
        <v>19.100000000000001</v>
      </c>
      <c r="I499">
        <f t="shared" si="75"/>
        <v>15.40000057220459</v>
      </c>
    </row>
    <row r="500" spans="1:9">
      <c r="A500" s="1">
        <v>33724</v>
      </c>
      <c r="B500">
        <f t="shared" si="72"/>
        <v>6775.9908747673035</v>
      </c>
      <c r="C500">
        <f t="shared" si="73"/>
        <v>16.367956161499023</v>
      </c>
      <c r="D500" s="1">
        <f t="shared" si="74"/>
        <v>33724</v>
      </c>
      <c r="E500">
        <f t="shared" si="76"/>
        <v>1992</v>
      </c>
      <c r="F500" s="13">
        <f t="shared" si="77"/>
        <v>121</v>
      </c>
      <c r="G500">
        <v>21.5</v>
      </c>
      <c r="H500">
        <v>15.8</v>
      </c>
      <c r="I500">
        <f t="shared" si="75"/>
        <v>10.90306282043457</v>
      </c>
    </row>
    <row r="501" spans="1:9">
      <c r="A501" s="1"/>
      <c r="D501" s="1"/>
    </row>
    <row r="502" spans="1:9">
      <c r="A502" s="1"/>
      <c r="D502" s="1"/>
    </row>
    <row r="503" spans="1:9">
      <c r="A503" s="1"/>
      <c r="D503" s="1"/>
    </row>
    <row r="504" spans="1:9">
      <c r="A504" s="1"/>
      <c r="D504" s="1"/>
    </row>
    <row r="505" spans="1:9">
      <c r="A505" s="1"/>
      <c r="D505" s="1"/>
    </row>
    <row r="506" spans="1:9">
      <c r="A506" s="1"/>
      <c r="D506" s="1"/>
    </row>
    <row r="507" spans="1:9">
      <c r="A507" s="1"/>
      <c r="D507" s="1"/>
    </row>
    <row r="508" spans="1:9">
      <c r="A508" s="1"/>
      <c r="D508" s="1"/>
    </row>
    <row r="509" spans="1:9">
      <c r="A509" s="1"/>
      <c r="D509" s="1"/>
    </row>
    <row r="510" spans="1:9">
      <c r="A510" s="1"/>
      <c r="D510" s="1"/>
    </row>
    <row r="511" spans="1:9">
      <c r="A511" s="1"/>
      <c r="D511" s="1"/>
    </row>
    <row r="512" spans="1:9">
      <c r="A512" s="1"/>
      <c r="D512" s="1"/>
    </row>
    <row r="513" spans="1:4">
      <c r="A513" s="1"/>
      <c r="D513" s="1"/>
    </row>
    <row r="514" spans="1:4">
      <c r="A514" s="1"/>
      <c r="D514" s="1"/>
    </row>
    <row r="515" spans="1:4">
      <c r="A515" s="1"/>
      <c r="D515" s="1"/>
    </row>
    <row r="516" spans="1:4">
      <c r="A516" s="1"/>
      <c r="D516" s="1"/>
    </row>
    <row r="517" spans="1:4">
      <c r="A517" s="1"/>
      <c r="D517" s="1"/>
    </row>
    <row r="518" spans="1:4">
      <c r="A518" s="1"/>
      <c r="D518" s="1"/>
    </row>
    <row r="519" spans="1:4">
      <c r="A519" s="1"/>
      <c r="D519" s="1"/>
    </row>
    <row r="520" spans="1:4">
      <c r="A520" s="1"/>
      <c r="D520" s="1"/>
    </row>
    <row r="521" spans="1:4">
      <c r="A521" s="1"/>
      <c r="D521" s="1"/>
    </row>
    <row r="522" spans="1:4">
      <c r="A522" s="1"/>
      <c r="D522" s="1"/>
    </row>
    <row r="523" spans="1:4">
      <c r="A523" s="1"/>
      <c r="D523" s="1"/>
    </row>
    <row r="524" spans="1:4">
      <c r="A524" s="1"/>
      <c r="D524" s="1"/>
    </row>
    <row r="525" spans="1:4">
      <c r="A525" s="1"/>
      <c r="D525" s="1"/>
    </row>
    <row r="526" spans="1:4">
      <c r="A526" s="1"/>
      <c r="D526" s="1"/>
    </row>
    <row r="527" spans="1:4">
      <c r="A527" s="1"/>
      <c r="D527" s="1"/>
    </row>
    <row r="528" spans="1:4">
      <c r="A528" s="1"/>
      <c r="D528" s="1"/>
    </row>
    <row r="529" spans="1:4">
      <c r="A529" s="1"/>
      <c r="D529" s="1"/>
    </row>
    <row r="530" spans="1:4">
      <c r="A530" s="1"/>
      <c r="D530" s="1"/>
    </row>
    <row r="531" spans="1:4">
      <c r="A531" s="1"/>
      <c r="D531" s="1"/>
    </row>
    <row r="532" spans="1:4">
      <c r="A532" s="1"/>
      <c r="D532" s="1"/>
    </row>
    <row r="533" spans="1:4">
      <c r="A533" s="1"/>
      <c r="D533" s="1"/>
    </row>
    <row r="534" spans="1:4">
      <c r="A534" s="1"/>
      <c r="D534" s="1"/>
    </row>
    <row r="535" spans="1:4">
      <c r="A535" s="1"/>
      <c r="D535" s="1"/>
    </row>
    <row r="536" spans="1:4">
      <c r="A536" s="1"/>
      <c r="D536" s="1"/>
    </row>
    <row r="537" spans="1:4">
      <c r="A537" s="1"/>
      <c r="D537" s="1"/>
    </row>
    <row r="538" spans="1:4">
      <c r="A538" s="1"/>
      <c r="D538" s="1"/>
    </row>
    <row r="539" spans="1:4">
      <c r="A539" s="1"/>
      <c r="D539" s="1"/>
    </row>
    <row r="540" spans="1:4">
      <c r="A540" s="1"/>
      <c r="D540" s="1"/>
    </row>
    <row r="541" spans="1:4">
      <c r="A541" s="1"/>
      <c r="D541" s="1"/>
    </row>
    <row r="542" spans="1:4">
      <c r="A542" s="1"/>
      <c r="D542" s="1"/>
    </row>
    <row r="543" spans="1:4">
      <c r="A543" s="1"/>
      <c r="D543" s="1"/>
    </row>
    <row r="544" spans="1:4">
      <c r="A544" s="1"/>
      <c r="D544" s="1"/>
    </row>
    <row r="545" spans="1:4">
      <c r="A545" s="1"/>
      <c r="D545" s="1"/>
    </row>
    <row r="546" spans="1:4">
      <c r="A546" s="1"/>
      <c r="D546" s="1"/>
    </row>
    <row r="547" spans="1:4">
      <c r="A547" s="1"/>
      <c r="D547" s="1"/>
    </row>
    <row r="548" spans="1:4">
      <c r="A548" s="1"/>
      <c r="D548" s="1"/>
    </row>
    <row r="549" spans="1:4">
      <c r="A549" s="1"/>
      <c r="D549" s="1"/>
    </row>
    <row r="550" spans="1:4">
      <c r="A550" s="1"/>
      <c r="D550" s="1"/>
    </row>
    <row r="551" spans="1:4">
      <c r="A551" s="1"/>
      <c r="D551" s="1"/>
    </row>
    <row r="552" spans="1:4">
      <c r="A552" s="1"/>
      <c r="D552" s="1"/>
    </row>
    <row r="553" spans="1:4">
      <c r="A553" s="1"/>
      <c r="D553" s="1"/>
    </row>
    <row r="554" spans="1:4">
      <c r="A554" s="1"/>
      <c r="D554" s="1"/>
    </row>
    <row r="555" spans="1:4">
      <c r="A555" s="1"/>
      <c r="D555" s="1"/>
    </row>
    <row r="556" spans="1:4">
      <c r="A556" s="1"/>
      <c r="D556" s="1"/>
    </row>
    <row r="557" spans="1:4">
      <c r="A557" s="1"/>
      <c r="D557" s="1"/>
    </row>
    <row r="558" spans="1:4">
      <c r="A558" s="1"/>
      <c r="D558" s="1"/>
    </row>
    <row r="559" spans="1:4">
      <c r="A559" s="1"/>
      <c r="D559" s="1"/>
    </row>
    <row r="560" spans="1:4">
      <c r="A560" s="1"/>
      <c r="D560" s="1"/>
    </row>
    <row r="561" spans="1:4">
      <c r="A561" s="1"/>
      <c r="D561" s="1"/>
    </row>
    <row r="562" spans="1:4">
      <c r="A562" s="1"/>
      <c r="D562" s="1"/>
    </row>
    <row r="563" spans="1:4">
      <c r="A563" s="1"/>
      <c r="D563" s="1"/>
    </row>
    <row r="564" spans="1:4">
      <c r="A564" s="1"/>
      <c r="D564" s="1"/>
    </row>
    <row r="565" spans="1:4">
      <c r="A565" s="1"/>
      <c r="D565" s="1"/>
    </row>
    <row r="566" spans="1:4">
      <c r="A566" s="1"/>
      <c r="D566" s="1"/>
    </row>
    <row r="567" spans="1:4">
      <c r="A567" s="1"/>
      <c r="D567" s="1"/>
    </row>
    <row r="568" spans="1:4">
      <c r="A568" s="1"/>
      <c r="D568" s="1"/>
    </row>
    <row r="569" spans="1:4">
      <c r="A569" s="1"/>
      <c r="D569" s="1"/>
    </row>
    <row r="570" spans="1:4">
      <c r="A570" s="1"/>
      <c r="D570" s="1"/>
    </row>
    <row r="571" spans="1:4">
      <c r="A571" s="1"/>
      <c r="D571" s="1"/>
    </row>
    <row r="572" spans="1:4">
      <c r="A572" s="1"/>
      <c r="D572" s="1"/>
    </row>
    <row r="573" spans="1:4">
      <c r="A573" s="1"/>
      <c r="D573" s="1"/>
    </row>
    <row r="574" spans="1:4">
      <c r="A574" s="1"/>
      <c r="D574" s="1"/>
    </row>
    <row r="575" spans="1:4">
      <c r="A575" s="1"/>
      <c r="D575" s="1"/>
    </row>
    <row r="576" spans="1:4">
      <c r="A576" s="1"/>
      <c r="D576" s="1"/>
    </row>
    <row r="577" spans="1:4">
      <c r="A577" s="1"/>
      <c r="D577" s="1"/>
    </row>
    <row r="578" spans="1:4">
      <c r="A578" s="1"/>
      <c r="D578" s="1"/>
    </row>
    <row r="579" spans="1:4">
      <c r="A579" s="1"/>
      <c r="D579" s="1"/>
    </row>
    <row r="580" spans="1:4">
      <c r="A580" s="1"/>
      <c r="D580" s="1"/>
    </row>
    <row r="581" spans="1:4">
      <c r="A581" s="1"/>
      <c r="D581" s="1"/>
    </row>
    <row r="582" spans="1:4">
      <c r="A582" s="1"/>
      <c r="D582" s="1"/>
    </row>
    <row r="583" spans="1:4">
      <c r="A583" s="1"/>
      <c r="D583" s="1"/>
    </row>
    <row r="584" spans="1:4">
      <c r="A584" s="1"/>
      <c r="D584" s="1"/>
    </row>
    <row r="585" spans="1:4">
      <c r="A585" s="1"/>
      <c r="D585" s="1"/>
    </row>
    <row r="586" spans="1:4">
      <c r="A586" s="1"/>
      <c r="D586" s="1"/>
    </row>
    <row r="587" spans="1:4">
      <c r="A587" s="1"/>
      <c r="D587" s="1"/>
    </row>
    <row r="588" spans="1:4">
      <c r="A588" s="1"/>
      <c r="D588" s="1"/>
    </row>
    <row r="589" spans="1:4">
      <c r="A589" s="1"/>
      <c r="D589" s="1"/>
    </row>
    <row r="590" spans="1:4">
      <c r="A590" s="1"/>
      <c r="D590" s="1"/>
    </row>
    <row r="591" spans="1:4">
      <c r="A591" s="1"/>
      <c r="D591" s="1"/>
    </row>
    <row r="592" spans="1:4">
      <c r="A592" s="1"/>
      <c r="D592" s="1"/>
    </row>
    <row r="593" spans="1:4">
      <c r="A593" s="1"/>
      <c r="D593" s="1"/>
    </row>
    <row r="594" spans="1:4">
      <c r="A594" s="1"/>
      <c r="D594" s="1"/>
    </row>
    <row r="595" spans="1:4">
      <c r="A595" s="1"/>
      <c r="D595" s="1"/>
    </row>
    <row r="596" spans="1:4">
      <c r="A596" s="1"/>
      <c r="D596" s="1"/>
    </row>
    <row r="597" spans="1:4">
      <c r="A597" s="1"/>
      <c r="D597" s="1"/>
    </row>
    <row r="598" spans="1:4">
      <c r="A598" s="1"/>
      <c r="D598" s="1"/>
    </row>
    <row r="599" spans="1:4">
      <c r="A599" s="1"/>
      <c r="D599" s="1"/>
    </row>
    <row r="600" spans="1:4">
      <c r="A600" s="1"/>
      <c r="D600" s="1"/>
    </row>
    <row r="601" spans="1:4">
      <c r="A601" s="1"/>
      <c r="D601" s="1"/>
    </row>
    <row r="602" spans="1:4">
      <c r="A602" s="1"/>
      <c r="D602" s="1"/>
    </row>
    <row r="603" spans="1:4">
      <c r="A603" s="1"/>
      <c r="D603" s="1"/>
    </row>
    <row r="604" spans="1:4">
      <c r="A604" s="1"/>
      <c r="D604" s="1"/>
    </row>
    <row r="605" spans="1:4">
      <c r="A605" s="1"/>
      <c r="D605" s="1"/>
    </row>
    <row r="606" spans="1:4">
      <c r="A606" s="1"/>
      <c r="D606" s="1"/>
    </row>
    <row r="607" spans="1:4">
      <c r="A607" s="1"/>
      <c r="D607" s="1"/>
    </row>
    <row r="608" spans="1:4">
      <c r="A608" s="1"/>
      <c r="D608" s="1"/>
    </row>
    <row r="609" spans="1:4">
      <c r="A609" s="1"/>
      <c r="D609" s="1"/>
    </row>
    <row r="610" spans="1:4">
      <c r="A610" s="1"/>
      <c r="D610" s="1"/>
    </row>
    <row r="611" spans="1:4">
      <c r="A611" s="1"/>
      <c r="D611" s="1"/>
    </row>
    <row r="612" spans="1:4">
      <c r="A612" s="1"/>
      <c r="D612" s="1"/>
    </row>
    <row r="613" spans="1:4">
      <c r="A613" s="1"/>
      <c r="D613" s="1"/>
    </row>
    <row r="614" spans="1:4">
      <c r="A614" s="1"/>
      <c r="D614" s="1"/>
    </row>
    <row r="615" spans="1:4">
      <c r="A615" s="1"/>
      <c r="D615" s="1"/>
    </row>
    <row r="616" spans="1:4">
      <c r="A616" s="1"/>
      <c r="D616" s="1"/>
    </row>
    <row r="617" spans="1:4">
      <c r="A617" s="1"/>
      <c r="D617" s="1"/>
    </row>
    <row r="618" spans="1:4">
      <c r="A618" s="1"/>
      <c r="D618" s="1"/>
    </row>
    <row r="619" spans="1:4">
      <c r="A619" s="1"/>
      <c r="D619" s="1"/>
    </row>
    <row r="620" spans="1:4">
      <c r="A620" s="1"/>
      <c r="D620" s="1"/>
    </row>
    <row r="621" spans="1:4">
      <c r="A621" s="1"/>
      <c r="D621" s="1"/>
    </row>
    <row r="622" spans="1:4">
      <c r="A622" s="1"/>
      <c r="D622" s="1"/>
    </row>
    <row r="623" spans="1:4">
      <c r="A623" s="1"/>
      <c r="D623" s="1"/>
    </row>
    <row r="624" spans="1:4">
      <c r="A624" s="1"/>
      <c r="D624" s="1"/>
    </row>
    <row r="625" spans="1:4">
      <c r="A625" s="1"/>
      <c r="D625" s="1"/>
    </row>
    <row r="626" spans="1:4">
      <c r="A626" s="1"/>
      <c r="D626" s="1"/>
    </row>
    <row r="627" spans="1:4">
      <c r="A627" s="1"/>
      <c r="D627" s="1"/>
    </row>
    <row r="628" spans="1:4">
      <c r="A628" s="1"/>
      <c r="D628" s="1"/>
    </row>
    <row r="629" spans="1:4">
      <c r="A629" s="1"/>
      <c r="D629" s="1"/>
    </row>
    <row r="630" spans="1:4">
      <c r="A630" s="1"/>
      <c r="D630" s="1"/>
    </row>
    <row r="631" spans="1:4">
      <c r="A631" s="1"/>
      <c r="D631" s="1"/>
    </row>
    <row r="632" spans="1:4">
      <c r="A632" s="1"/>
      <c r="D632" s="1"/>
    </row>
    <row r="633" spans="1:4">
      <c r="A633" s="1"/>
      <c r="D633" s="1"/>
    </row>
    <row r="634" spans="1:4">
      <c r="A634" s="1"/>
      <c r="D634" s="1"/>
    </row>
    <row r="635" spans="1:4">
      <c r="A635" s="1"/>
      <c r="D635" s="1"/>
    </row>
    <row r="636" spans="1:4">
      <c r="A636" s="1"/>
      <c r="D636" s="1"/>
    </row>
    <row r="637" spans="1:4">
      <c r="A637" s="1"/>
      <c r="D637" s="1"/>
    </row>
    <row r="638" spans="1:4">
      <c r="A638" s="1"/>
      <c r="D638" s="1"/>
    </row>
    <row r="639" spans="1:4">
      <c r="A639" s="1"/>
      <c r="D639" s="1"/>
    </row>
    <row r="640" spans="1:4">
      <c r="A640" s="1"/>
      <c r="D640" s="1"/>
    </row>
    <row r="641" spans="1:4">
      <c r="A641" s="1"/>
      <c r="D641" s="1"/>
    </row>
    <row r="642" spans="1:4">
      <c r="A642" s="1"/>
      <c r="D642" s="1"/>
    </row>
    <row r="643" spans="1:4">
      <c r="A643" s="1"/>
      <c r="D643" s="1"/>
    </row>
    <row r="644" spans="1:4">
      <c r="A644" s="1"/>
      <c r="D644" s="1"/>
    </row>
    <row r="645" spans="1:4">
      <c r="A645" s="1"/>
      <c r="D645" s="1"/>
    </row>
    <row r="646" spans="1:4">
      <c r="A646" s="1"/>
      <c r="D646" s="1"/>
    </row>
    <row r="647" spans="1:4">
      <c r="A647" s="1"/>
      <c r="D647" s="1"/>
    </row>
    <row r="648" spans="1:4">
      <c r="A648" s="1"/>
      <c r="D648" s="1"/>
    </row>
    <row r="649" spans="1:4">
      <c r="A649" s="1"/>
      <c r="D649" s="1"/>
    </row>
    <row r="650" spans="1:4">
      <c r="A650" s="1"/>
      <c r="D650" s="1"/>
    </row>
    <row r="651" spans="1:4">
      <c r="A651" s="1"/>
      <c r="D651" s="1"/>
    </row>
    <row r="652" spans="1:4">
      <c r="A652" s="1"/>
      <c r="D652" s="1"/>
    </row>
    <row r="653" spans="1:4">
      <c r="A653" s="1"/>
      <c r="D653" s="1"/>
    </row>
    <row r="654" spans="1:4">
      <c r="A654" s="1"/>
      <c r="D654" s="1"/>
    </row>
    <row r="655" spans="1:4">
      <c r="A655" s="1"/>
      <c r="D655" s="1"/>
    </row>
    <row r="656" spans="1:4">
      <c r="A656" s="1"/>
      <c r="D656" s="1"/>
    </row>
    <row r="657" spans="1:4">
      <c r="A657" s="1"/>
      <c r="D657" s="1"/>
    </row>
    <row r="658" spans="1:4">
      <c r="A658" s="1"/>
      <c r="D658" s="1"/>
    </row>
    <row r="659" spans="1:4">
      <c r="A659" s="1"/>
      <c r="D659" s="1"/>
    </row>
    <row r="660" spans="1:4">
      <c r="A660" s="1"/>
      <c r="D660" s="1"/>
    </row>
    <row r="661" spans="1:4">
      <c r="A661" s="1"/>
      <c r="D661" s="1"/>
    </row>
    <row r="662" spans="1:4">
      <c r="A662" s="1"/>
      <c r="D662" s="1"/>
    </row>
    <row r="663" spans="1:4">
      <c r="A663" s="1"/>
      <c r="D663" s="1"/>
    </row>
    <row r="664" spans="1:4">
      <c r="A664" s="1"/>
      <c r="D664" s="1"/>
    </row>
    <row r="665" spans="1:4">
      <c r="A665" s="1"/>
      <c r="D665" s="1"/>
    </row>
    <row r="666" spans="1:4">
      <c r="A666" s="1"/>
      <c r="D666" s="1"/>
    </row>
    <row r="667" spans="1:4">
      <c r="A667" s="1"/>
      <c r="D667" s="1"/>
    </row>
    <row r="668" spans="1:4">
      <c r="A668" s="1"/>
      <c r="D668" s="1"/>
    </row>
    <row r="669" spans="1:4">
      <c r="A669" s="1"/>
      <c r="D669" s="1"/>
    </row>
    <row r="670" spans="1:4">
      <c r="A670" s="1"/>
      <c r="D670" s="1"/>
    </row>
    <row r="671" spans="1:4">
      <c r="A671" s="1"/>
      <c r="D671" s="1"/>
    </row>
    <row r="672" spans="1:4">
      <c r="A672" s="1"/>
      <c r="D672" s="1"/>
    </row>
    <row r="673" spans="1:4">
      <c r="A673" s="1"/>
      <c r="D673" s="1"/>
    </row>
    <row r="674" spans="1:4">
      <c r="A674" s="1"/>
      <c r="D674" s="1"/>
    </row>
    <row r="675" spans="1:4">
      <c r="A675" s="1"/>
      <c r="D675" s="1"/>
    </row>
    <row r="676" spans="1:4">
      <c r="A676" s="1"/>
      <c r="D676" s="1"/>
    </row>
    <row r="677" spans="1:4">
      <c r="A677" s="1"/>
      <c r="D677" s="1"/>
    </row>
    <row r="678" spans="1:4">
      <c r="A678" s="1"/>
      <c r="D678" s="1"/>
    </row>
    <row r="679" spans="1:4">
      <c r="A679" s="1"/>
      <c r="D679" s="1"/>
    </row>
    <row r="680" spans="1:4">
      <c r="A680" s="1"/>
      <c r="D680" s="1"/>
    </row>
    <row r="681" spans="1:4">
      <c r="A681" s="1"/>
      <c r="D681" s="1"/>
    </row>
    <row r="682" spans="1:4">
      <c r="A682" s="1"/>
      <c r="D682" s="1"/>
    </row>
    <row r="683" spans="1:4">
      <c r="A683" s="1"/>
      <c r="D683" s="1"/>
    </row>
    <row r="684" spans="1:4">
      <c r="A684" s="1"/>
      <c r="D684" s="1"/>
    </row>
    <row r="685" spans="1:4">
      <c r="A685" s="1"/>
      <c r="D685" s="1"/>
    </row>
    <row r="686" spans="1:4">
      <c r="A686" s="1"/>
      <c r="D686" s="1"/>
    </row>
    <row r="687" spans="1:4">
      <c r="A687" s="1"/>
      <c r="D687" s="1"/>
    </row>
    <row r="688" spans="1:4">
      <c r="A688" s="1"/>
      <c r="D688" s="1"/>
    </row>
    <row r="689" spans="1:4">
      <c r="A689" s="1"/>
      <c r="D689" s="1"/>
    </row>
    <row r="690" spans="1:4">
      <c r="A690" s="1"/>
      <c r="D690" s="1"/>
    </row>
    <row r="691" spans="1:4">
      <c r="A691" s="1"/>
      <c r="D691" s="1"/>
    </row>
    <row r="692" spans="1:4">
      <c r="A692" s="1"/>
      <c r="D692" s="1"/>
    </row>
    <row r="693" spans="1:4">
      <c r="A693" s="1"/>
      <c r="D693" s="1"/>
    </row>
    <row r="694" spans="1:4">
      <c r="A694" s="1"/>
      <c r="D694" s="1"/>
    </row>
    <row r="695" spans="1:4">
      <c r="A695" s="1"/>
      <c r="D695" s="1"/>
    </row>
    <row r="696" spans="1:4">
      <c r="A696" s="1"/>
      <c r="D696" s="1"/>
    </row>
    <row r="697" spans="1:4">
      <c r="A697" s="1"/>
      <c r="D697" s="1"/>
    </row>
    <row r="698" spans="1:4">
      <c r="A698" s="1"/>
      <c r="D698" s="1"/>
    </row>
    <row r="699" spans="1:4">
      <c r="A699" s="1"/>
      <c r="D699" s="1"/>
    </row>
    <row r="700" spans="1:4">
      <c r="A700" s="1"/>
      <c r="D700" s="1"/>
    </row>
    <row r="701" spans="1:4">
      <c r="A701" s="1"/>
      <c r="D701" s="1"/>
    </row>
    <row r="702" spans="1:4">
      <c r="A702" s="1"/>
      <c r="D702" s="1"/>
    </row>
    <row r="703" spans="1:4">
      <c r="A703" s="1"/>
      <c r="D703" s="1"/>
    </row>
    <row r="704" spans="1:4">
      <c r="A704" s="1"/>
      <c r="D704" s="1"/>
    </row>
    <row r="705" spans="1:4">
      <c r="A705" s="1"/>
      <c r="D705" s="1"/>
    </row>
    <row r="706" spans="1:4">
      <c r="A706" s="1"/>
      <c r="D706" s="1"/>
    </row>
    <row r="707" spans="1:4">
      <c r="A707" s="1"/>
      <c r="D707" s="1"/>
    </row>
    <row r="708" spans="1:4">
      <c r="A708" s="1"/>
      <c r="D708" s="1"/>
    </row>
    <row r="709" spans="1:4">
      <c r="A709" s="1"/>
      <c r="D709" s="1"/>
    </row>
    <row r="710" spans="1:4">
      <c r="A710" s="1"/>
      <c r="D710" s="1"/>
    </row>
    <row r="711" spans="1:4">
      <c r="A711" s="1"/>
      <c r="D711" s="1"/>
    </row>
    <row r="712" spans="1:4">
      <c r="A712" s="1"/>
      <c r="D712" s="1"/>
    </row>
    <row r="713" spans="1:4">
      <c r="A713" s="1"/>
      <c r="D713" s="1"/>
    </row>
    <row r="714" spans="1:4">
      <c r="A714" s="1"/>
      <c r="D714" s="1"/>
    </row>
    <row r="715" spans="1:4">
      <c r="A715" s="1"/>
      <c r="D715" s="1"/>
    </row>
    <row r="716" spans="1:4">
      <c r="A716" s="1"/>
      <c r="D716" s="1"/>
    </row>
    <row r="717" spans="1:4">
      <c r="A717" s="1"/>
      <c r="D717" s="1"/>
    </row>
    <row r="718" spans="1:4">
      <c r="A718" s="1"/>
      <c r="D718" s="1"/>
    </row>
    <row r="719" spans="1:4">
      <c r="A719" s="1"/>
      <c r="D719" s="1"/>
    </row>
    <row r="720" spans="1:4">
      <c r="A720" s="1"/>
      <c r="D720" s="1"/>
    </row>
    <row r="721" spans="1:4">
      <c r="A721" s="1"/>
      <c r="D721" s="1"/>
    </row>
    <row r="722" spans="1:4">
      <c r="A722" s="1"/>
      <c r="D722" s="1"/>
    </row>
    <row r="723" spans="1:4">
      <c r="A723" s="1"/>
      <c r="D723" s="1"/>
    </row>
    <row r="724" spans="1:4">
      <c r="A724" s="1"/>
      <c r="D724" s="1"/>
    </row>
    <row r="725" spans="1:4">
      <c r="A725" s="1"/>
      <c r="D725" s="1"/>
    </row>
    <row r="726" spans="1:4">
      <c r="A726" s="1"/>
      <c r="D726" s="1"/>
    </row>
    <row r="727" spans="1:4">
      <c r="A727" s="1"/>
      <c r="D727" s="1"/>
    </row>
    <row r="728" spans="1:4">
      <c r="A728" s="1"/>
      <c r="D728" s="1"/>
    </row>
    <row r="729" spans="1:4">
      <c r="A729" s="1"/>
      <c r="D729" s="1"/>
    </row>
    <row r="730" spans="1:4">
      <c r="A730" s="1"/>
      <c r="D730" s="1"/>
    </row>
    <row r="731" spans="1:4">
      <c r="A731" s="1"/>
      <c r="D731" s="1"/>
    </row>
    <row r="732" spans="1:4">
      <c r="A732" s="1"/>
      <c r="D732" s="1"/>
    </row>
    <row r="733" spans="1:4">
      <c r="A733" s="1"/>
      <c r="D733" s="1"/>
    </row>
    <row r="734" spans="1:4">
      <c r="A734" s="1"/>
      <c r="D734" s="1"/>
    </row>
    <row r="735" spans="1:4">
      <c r="A735" s="1"/>
      <c r="D735" s="1"/>
    </row>
    <row r="736" spans="1:4">
      <c r="A736" s="1"/>
      <c r="D736" s="1"/>
    </row>
    <row r="737" spans="1:4">
      <c r="A737" s="1"/>
      <c r="D737" s="1"/>
    </row>
    <row r="738" spans="1:4">
      <c r="A738" s="1"/>
      <c r="D738" s="1"/>
    </row>
    <row r="739" spans="1:4">
      <c r="A739" s="1"/>
      <c r="D739" s="1"/>
    </row>
    <row r="740" spans="1:4">
      <c r="A740" s="1"/>
      <c r="D740" s="1"/>
    </row>
    <row r="741" spans="1:4">
      <c r="A741" s="1"/>
      <c r="D741" s="1"/>
    </row>
    <row r="742" spans="1:4">
      <c r="A742" s="1"/>
      <c r="D742" s="1"/>
    </row>
    <row r="743" spans="1:4">
      <c r="A743" s="1"/>
      <c r="D743" s="1"/>
    </row>
    <row r="744" spans="1:4">
      <c r="A744" s="1"/>
      <c r="D744" s="1"/>
    </row>
    <row r="745" spans="1:4">
      <c r="A745" s="1"/>
      <c r="D745" s="1"/>
    </row>
    <row r="746" spans="1:4">
      <c r="A746" s="1"/>
      <c r="D746" s="1"/>
    </row>
    <row r="747" spans="1:4">
      <c r="A747" s="1"/>
      <c r="D747" s="1"/>
    </row>
    <row r="748" spans="1:4">
      <c r="A748" s="1"/>
      <c r="D748" s="1"/>
    </row>
    <row r="749" spans="1:4">
      <c r="A749" s="1"/>
      <c r="D749" s="1"/>
    </row>
    <row r="750" spans="1:4">
      <c r="A750" s="1"/>
      <c r="D750" s="1"/>
    </row>
    <row r="751" spans="1:4">
      <c r="A751" s="1"/>
      <c r="D751" s="1"/>
    </row>
    <row r="752" spans="1:4">
      <c r="A752" s="1"/>
      <c r="D752" s="1"/>
    </row>
    <row r="753" spans="1:4">
      <c r="A753" s="1"/>
      <c r="D753" s="1"/>
    </row>
    <row r="754" spans="1:4">
      <c r="A754" s="1"/>
      <c r="D754" s="1"/>
    </row>
    <row r="755" spans="1:4">
      <c r="A755" s="1"/>
      <c r="D755" s="1"/>
    </row>
    <row r="756" spans="1:4">
      <c r="A756" s="1"/>
      <c r="D756" s="1"/>
    </row>
    <row r="757" spans="1:4">
      <c r="A757" s="1"/>
      <c r="D757" s="1"/>
    </row>
    <row r="758" spans="1:4">
      <c r="A758" s="1"/>
      <c r="D758" s="1"/>
    </row>
    <row r="759" spans="1:4">
      <c r="A759" s="1"/>
      <c r="D759" s="1"/>
    </row>
    <row r="760" spans="1:4">
      <c r="A760" s="1"/>
      <c r="D760" s="1"/>
    </row>
    <row r="761" spans="1:4">
      <c r="A761" s="1"/>
      <c r="D761" s="1"/>
    </row>
    <row r="762" spans="1:4">
      <c r="A762" s="1"/>
      <c r="D762" s="1"/>
    </row>
    <row r="763" spans="1:4">
      <c r="A763" s="1"/>
      <c r="D763" s="1"/>
    </row>
    <row r="764" spans="1:4">
      <c r="A764" s="1"/>
      <c r="D764" s="1"/>
    </row>
    <row r="765" spans="1:4">
      <c r="A765" s="1"/>
      <c r="D765" s="1"/>
    </row>
    <row r="766" spans="1:4">
      <c r="A766" s="1"/>
      <c r="D766" s="1"/>
    </row>
    <row r="767" spans="1:4">
      <c r="A767" s="1"/>
      <c r="D767" s="1"/>
    </row>
    <row r="768" spans="1:4">
      <c r="A768" s="1"/>
      <c r="D768" s="1"/>
    </row>
    <row r="769" spans="1:4">
      <c r="A769" s="1"/>
      <c r="D769" s="1"/>
    </row>
    <row r="770" spans="1:4">
      <c r="A770" s="1"/>
      <c r="D770" s="1"/>
    </row>
    <row r="771" spans="1:4">
      <c r="A771" s="1"/>
      <c r="D771" s="1"/>
    </row>
    <row r="772" spans="1:4">
      <c r="A772" s="1"/>
      <c r="D772" s="1"/>
    </row>
    <row r="773" spans="1:4">
      <c r="A773" s="1"/>
      <c r="D773" s="1"/>
    </row>
    <row r="774" spans="1:4">
      <c r="A774" s="1"/>
      <c r="D774" s="1"/>
    </row>
    <row r="775" spans="1:4">
      <c r="A775" s="1"/>
      <c r="D775" s="1"/>
    </row>
    <row r="776" spans="1:4">
      <c r="A776" s="1"/>
      <c r="D776" s="1"/>
    </row>
    <row r="777" spans="1:4">
      <c r="A777" s="1"/>
      <c r="D777" s="1"/>
    </row>
    <row r="778" spans="1:4">
      <c r="A778" s="1"/>
      <c r="D778" s="1"/>
    </row>
    <row r="779" spans="1:4">
      <c r="A779" s="1"/>
      <c r="D779" s="1"/>
    </row>
    <row r="780" spans="1:4">
      <c r="A780" s="1"/>
      <c r="D780" s="1"/>
    </row>
    <row r="781" spans="1:4">
      <c r="A781" s="1"/>
      <c r="D781" s="1"/>
    </row>
    <row r="782" spans="1:4">
      <c r="A782" s="1"/>
      <c r="D782" s="1"/>
    </row>
    <row r="783" spans="1:4">
      <c r="A783" s="1"/>
      <c r="D783" s="1"/>
    </row>
    <row r="784" spans="1:4">
      <c r="A784" s="1"/>
      <c r="D784" s="1"/>
    </row>
    <row r="785" spans="1:4">
      <c r="A785" s="1"/>
      <c r="D785" s="1"/>
    </row>
    <row r="786" spans="1:4">
      <c r="A786" s="1"/>
      <c r="D786" s="1"/>
    </row>
    <row r="787" spans="1:4">
      <c r="A787" s="1"/>
      <c r="D787" s="1"/>
    </row>
    <row r="788" spans="1:4">
      <c r="A788" s="1"/>
      <c r="D788" s="1"/>
    </row>
    <row r="789" spans="1:4">
      <c r="A789" s="1"/>
      <c r="D789" s="1"/>
    </row>
    <row r="790" spans="1:4">
      <c r="A790" s="1"/>
      <c r="D790" s="1"/>
    </row>
    <row r="791" spans="1:4">
      <c r="A791" s="1"/>
      <c r="D791" s="1"/>
    </row>
    <row r="792" spans="1:4">
      <c r="A792" s="1"/>
      <c r="D792" s="1"/>
    </row>
    <row r="793" spans="1:4">
      <c r="A793" s="1"/>
      <c r="D793" s="1"/>
    </row>
    <row r="794" spans="1:4">
      <c r="A794" s="1"/>
      <c r="D794" s="1"/>
    </row>
    <row r="795" spans="1:4">
      <c r="A795" s="1"/>
      <c r="D795" s="1"/>
    </row>
    <row r="796" spans="1:4">
      <c r="A796" s="1"/>
      <c r="D796" s="1"/>
    </row>
    <row r="797" spans="1:4">
      <c r="A797" s="1"/>
      <c r="D797" s="1"/>
    </row>
    <row r="798" spans="1:4">
      <c r="A798" s="1"/>
      <c r="D798" s="1"/>
    </row>
    <row r="799" spans="1:4">
      <c r="A799" s="1"/>
      <c r="D799" s="1"/>
    </row>
    <row r="800" spans="1:4">
      <c r="A800" s="1"/>
      <c r="D800" s="1"/>
    </row>
    <row r="801" spans="1:4">
      <c r="A801" s="1"/>
      <c r="D801" s="1"/>
    </row>
    <row r="802" spans="1:4">
      <c r="A802" s="1"/>
      <c r="D802" s="1"/>
    </row>
    <row r="803" spans="1:4">
      <c r="A803" s="1"/>
      <c r="D803" s="1"/>
    </row>
    <row r="804" spans="1:4">
      <c r="A804" s="1"/>
      <c r="D804" s="1"/>
    </row>
    <row r="805" spans="1:4">
      <c r="A805" s="1"/>
      <c r="D805" s="1"/>
    </row>
    <row r="806" spans="1:4">
      <c r="A806" s="1"/>
      <c r="D806" s="1"/>
    </row>
    <row r="807" spans="1:4">
      <c r="A807" s="1"/>
      <c r="D807" s="1"/>
    </row>
    <row r="808" spans="1:4">
      <c r="A808" s="1"/>
      <c r="D808" s="1"/>
    </row>
    <row r="809" spans="1:4">
      <c r="A809" s="1"/>
      <c r="D809" s="1"/>
    </row>
    <row r="810" spans="1:4">
      <c r="A810" s="1"/>
      <c r="D810" s="1"/>
    </row>
    <row r="811" spans="1:4">
      <c r="A811" s="1"/>
      <c r="D811" s="1"/>
    </row>
    <row r="812" spans="1:4">
      <c r="A812" s="1"/>
      <c r="D812" s="1"/>
    </row>
    <row r="813" spans="1:4">
      <c r="A813" s="1"/>
      <c r="D813" s="1"/>
    </row>
    <row r="814" spans="1:4">
      <c r="A814" s="1"/>
      <c r="D814" s="1"/>
    </row>
    <row r="815" spans="1:4">
      <c r="A815" s="1"/>
      <c r="D815" s="1"/>
    </row>
    <row r="816" spans="1:4">
      <c r="A816" s="1"/>
      <c r="D816" s="1"/>
    </row>
    <row r="817" spans="1:4">
      <c r="A817" s="1"/>
      <c r="D817" s="1"/>
    </row>
    <row r="818" spans="1:4">
      <c r="A818" s="1"/>
      <c r="D818" s="1"/>
    </row>
    <row r="819" spans="1:4">
      <c r="A819" s="1"/>
      <c r="D819" s="1"/>
    </row>
    <row r="820" spans="1:4">
      <c r="A820" s="1"/>
      <c r="D820" s="1"/>
    </row>
    <row r="821" spans="1:4">
      <c r="A821" s="1"/>
      <c r="D821" s="1"/>
    </row>
    <row r="822" spans="1:4">
      <c r="A822" s="1"/>
      <c r="D822" s="1"/>
    </row>
    <row r="823" spans="1:4">
      <c r="A823" s="1"/>
      <c r="D823" s="1"/>
    </row>
    <row r="824" spans="1:4">
      <c r="A824" s="1"/>
      <c r="D824" s="1"/>
    </row>
    <row r="825" spans="1:4">
      <c r="A825" s="1"/>
      <c r="D825" s="1"/>
    </row>
    <row r="826" spans="1:4">
      <c r="A826" s="1"/>
      <c r="D826" s="1"/>
    </row>
    <row r="827" spans="1:4">
      <c r="A827" s="1"/>
      <c r="D827" s="1"/>
    </row>
    <row r="828" spans="1:4">
      <c r="A828" s="1"/>
      <c r="D828" s="1"/>
    </row>
    <row r="829" spans="1:4">
      <c r="A829" s="1"/>
      <c r="D829" s="1"/>
    </row>
    <row r="830" spans="1:4">
      <c r="A830" s="1"/>
      <c r="D830" s="1"/>
    </row>
    <row r="831" spans="1:4">
      <c r="A831" s="1"/>
      <c r="D831" s="1"/>
    </row>
    <row r="832" spans="1:4">
      <c r="A832" s="1"/>
      <c r="D832" s="1"/>
    </row>
    <row r="833" spans="1:4">
      <c r="A833" s="1"/>
      <c r="D833" s="1"/>
    </row>
    <row r="834" spans="1:4">
      <c r="A834" s="1"/>
      <c r="D834" s="1"/>
    </row>
    <row r="835" spans="1:4">
      <c r="A835" s="1"/>
      <c r="D835" s="1"/>
    </row>
    <row r="836" spans="1:4">
      <c r="A836" s="1"/>
      <c r="D836" s="1"/>
    </row>
    <row r="837" spans="1:4">
      <c r="A837" s="1"/>
      <c r="D837" s="1"/>
    </row>
    <row r="838" spans="1:4">
      <c r="A838" s="1"/>
      <c r="D838" s="1"/>
    </row>
    <row r="839" spans="1:4">
      <c r="A839" s="1"/>
      <c r="D839" s="1"/>
    </row>
    <row r="840" spans="1:4">
      <c r="A840" s="1"/>
      <c r="D840" s="1"/>
    </row>
    <row r="841" spans="1:4">
      <c r="A841" s="1"/>
      <c r="D841" s="1"/>
    </row>
    <row r="842" spans="1:4">
      <c r="A842" s="1"/>
      <c r="D842" s="1"/>
    </row>
    <row r="843" spans="1:4">
      <c r="A843" s="1"/>
      <c r="D843" s="1"/>
    </row>
    <row r="844" spans="1:4">
      <c r="A844" s="1"/>
      <c r="D844" s="1"/>
    </row>
    <row r="845" spans="1:4">
      <c r="A845" s="1"/>
      <c r="D845" s="1"/>
    </row>
    <row r="846" spans="1:4">
      <c r="A846" s="1"/>
      <c r="D846" s="1"/>
    </row>
    <row r="847" spans="1:4">
      <c r="A847" s="1"/>
      <c r="D847" s="1"/>
    </row>
    <row r="848" spans="1:4">
      <c r="A848" s="1"/>
      <c r="D848" s="1"/>
    </row>
    <row r="849" spans="1:4">
      <c r="A849" s="1"/>
      <c r="D849" s="1"/>
    </row>
    <row r="850" spans="1:4">
      <c r="A850" s="1"/>
      <c r="D850" s="1"/>
    </row>
    <row r="851" spans="1:4">
      <c r="A851" s="1"/>
      <c r="D851" s="1"/>
    </row>
    <row r="852" spans="1:4">
      <c r="A852" s="1"/>
      <c r="D852" s="1"/>
    </row>
    <row r="853" spans="1:4">
      <c r="A853" s="1"/>
      <c r="D853" s="1"/>
    </row>
    <row r="854" spans="1:4">
      <c r="A854" s="1"/>
      <c r="D854" s="1"/>
    </row>
    <row r="855" spans="1:4">
      <c r="A855" s="1"/>
      <c r="D855" s="1"/>
    </row>
    <row r="856" spans="1:4">
      <c r="A856" s="1"/>
      <c r="D856" s="1"/>
    </row>
    <row r="857" spans="1:4">
      <c r="A857" s="1"/>
      <c r="D857" s="1"/>
    </row>
    <row r="858" spans="1:4">
      <c r="A858" s="1"/>
      <c r="D858" s="1"/>
    </row>
    <row r="859" spans="1:4">
      <c r="A859" s="1"/>
      <c r="D859" s="1"/>
    </row>
    <row r="860" spans="1:4">
      <c r="A860" s="1"/>
      <c r="D860" s="1"/>
    </row>
    <row r="861" spans="1:4">
      <c r="A861" s="1"/>
      <c r="D861" s="1"/>
    </row>
    <row r="862" spans="1:4">
      <c r="A862" s="1"/>
      <c r="D862" s="1"/>
    </row>
    <row r="863" spans="1:4">
      <c r="A863" s="1"/>
      <c r="D863" s="1"/>
    </row>
    <row r="864" spans="1:4">
      <c r="A864" s="1"/>
      <c r="D864" s="1"/>
    </row>
    <row r="865" spans="1:4">
      <c r="A865" s="1"/>
      <c r="D865" s="1"/>
    </row>
    <row r="866" spans="1:4">
      <c r="A866" s="1"/>
      <c r="D866" s="1"/>
    </row>
    <row r="867" spans="1:4">
      <c r="A867" s="1"/>
      <c r="D867" s="1"/>
    </row>
    <row r="868" spans="1:4">
      <c r="A868" s="1"/>
      <c r="D868" s="1"/>
    </row>
    <row r="869" spans="1:4">
      <c r="A869" s="1"/>
      <c r="D869" s="1"/>
    </row>
    <row r="870" spans="1:4">
      <c r="A870" s="1"/>
      <c r="D870" s="1"/>
    </row>
    <row r="871" spans="1:4">
      <c r="A871" s="1"/>
      <c r="D871" s="1"/>
    </row>
    <row r="872" spans="1:4">
      <c r="A872" s="1"/>
      <c r="D872" s="1"/>
    </row>
    <row r="873" spans="1:4">
      <c r="A873" s="1"/>
      <c r="D873" s="1"/>
    </row>
    <row r="874" spans="1:4">
      <c r="A874" s="1"/>
      <c r="D874" s="1"/>
    </row>
    <row r="875" spans="1:4">
      <c r="A875" s="1"/>
      <c r="D875" s="1"/>
    </row>
    <row r="876" spans="1:4">
      <c r="A876" s="1"/>
      <c r="D876" s="1"/>
    </row>
    <row r="877" spans="1:4">
      <c r="A877" s="1"/>
      <c r="D877" s="1"/>
    </row>
    <row r="878" spans="1:4">
      <c r="A878" s="1"/>
      <c r="D878" s="1"/>
    </row>
    <row r="879" spans="1:4">
      <c r="A879" s="1"/>
      <c r="D879" s="1"/>
    </row>
    <row r="880" spans="1:4">
      <c r="A880" s="1"/>
      <c r="D880" s="1"/>
    </row>
    <row r="881" spans="1:4">
      <c r="A881" s="1"/>
      <c r="D881" s="1"/>
    </row>
    <row r="882" spans="1:4">
      <c r="A882" s="1"/>
      <c r="D882" s="1"/>
    </row>
    <row r="883" spans="1:4">
      <c r="A883" s="1"/>
      <c r="D883" s="1"/>
    </row>
    <row r="884" spans="1:4">
      <c r="A884" s="1"/>
      <c r="D884" s="1"/>
    </row>
    <row r="885" spans="1:4">
      <c r="A885" s="1"/>
      <c r="D885" s="1"/>
    </row>
    <row r="886" spans="1:4">
      <c r="A886" s="1"/>
      <c r="D886" s="1"/>
    </row>
    <row r="887" spans="1:4">
      <c r="A887" s="1"/>
      <c r="D887" s="1"/>
    </row>
    <row r="888" spans="1:4">
      <c r="A888" s="1"/>
      <c r="D888" s="1"/>
    </row>
    <row r="889" spans="1:4">
      <c r="A889" s="1"/>
      <c r="D889" s="1"/>
    </row>
    <row r="890" spans="1:4">
      <c r="A890" s="1"/>
      <c r="D890" s="1"/>
    </row>
    <row r="891" spans="1:4">
      <c r="A891" s="1"/>
      <c r="D891" s="1"/>
    </row>
    <row r="892" spans="1:4">
      <c r="A892" s="1"/>
      <c r="D892" s="1"/>
    </row>
    <row r="893" spans="1:4">
      <c r="A893" s="1"/>
      <c r="D893" s="1"/>
    </row>
    <row r="894" spans="1:4">
      <c r="A894" s="1"/>
      <c r="D894" s="1"/>
    </row>
    <row r="895" spans="1:4">
      <c r="A895" s="1"/>
      <c r="D895" s="1"/>
    </row>
    <row r="896" spans="1:4">
      <c r="A896" s="1"/>
      <c r="D896" s="1"/>
    </row>
    <row r="897" spans="1:4">
      <c r="A897" s="1"/>
      <c r="D897" s="1"/>
    </row>
    <row r="898" spans="1:4">
      <c r="A898" s="1"/>
      <c r="D898" s="1"/>
    </row>
    <row r="899" spans="1:4">
      <c r="A899" s="1"/>
      <c r="D899" s="1"/>
    </row>
    <row r="900" spans="1:4">
      <c r="A900" s="1"/>
      <c r="D900" s="1"/>
    </row>
    <row r="901" spans="1:4">
      <c r="A901" s="1"/>
      <c r="D901" s="1"/>
    </row>
    <row r="902" spans="1:4">
      <c r="A902" s="1"/>
      <c r="D902" s="1"/>
    </row>
    <row r="903" spans="1:4">
      <c r="A903" s="1"/>
      <c r="D903" s="1"/>
    </row>
    <row r="904" spans="1:4">
      <c r="A904" s="1"/>
      <c r="D904" s="1"/>
    </row>
    <row r="905" spans="1:4">
      <c r="A905" s="1"/>
      <c r="D905" s="1"/>
    </row>
    <row r="906" spans="1:4">
      <c r="A906" s="1"/>
      <c r="D906" s="1"/>
    </row>
    <row r="907" spans="1:4">
      <c r="A907" s="1"/>
      <c r="D907" s="1"/>
    </row>
    <row r="908" spans="1:4">
      <c r="A908" s="1"/>
      <c r="D908" s="1"/>
    </row>
    <row r="909" spans="1:4">
      <c r="A909" s="1"/>
      <c r="D909" s="1"/>
    </row>
    <row r="910" spans="1:4">
      <c r="A910" s="1"/>
      <c r="D910" s="1"/>
    </row>
    <row r="911" spans="1:4">
      <c r="A911" s="1"/>
      <c r="D911" s="1"/>
    </row>
    <row r="912" spans="1:4">
      <c r="A912" s="1"/>
      <c r="D912" s="1"/>
    </row>
    <row r="913" spans="1:4">
      <c r="A913" s="1"/>
      <c r="D913" s="1"/>
    </row>
    <row r="914" spans="1:4">
      <c r="A914" s="1"/>
      <c r="D914" s="1"/>
    </row>
    <row r="915" spans="1:4">
      <c r="A915" s="1"/>
      <c r="D915" s="1"/>
    </row>
    <row r="916" spans="1:4">
      <c r="A916" s="1"/>
      <c r="D916" s="1"/>
    </row>
    <row r="917" spans="1:4">
      <c r="A917" s="1"/>
      <c r="D917" s="1"/>
    </row>
    <row r="918" spans="1:4">
      <c r="A918" s="1"/>
      <c r="D918" s="1"/>
    </row>
    <row r="919" spans="1:4">
      <c r="A919" s="1"/>
      <c r="D919" s="1"/>
    </row>
    <row r="920" spans="1:4">
      <c r="A920" s="1"/>
      <c r="D920" s="1"/>
    </row>
    <row r="921" spans="1:4">
      <c r="A921" s="1"/>
      <c r="D921" s="1"/>
    </row>
    <row r="922" spans="1:4">
      <c r="A922" s="1"/>
      <c r="D922" s="1"/>
    </row>
    <row r="923" spans="1:4">
      <c r="A923" s="1"/>
      <c r="D923" s="1"/>
    </row>
    <row r="924" spans="1:4">
      <c r="A924" s="1"/>
      <c r="D924" s="1"/>
    </row>
    <row r="925" spans="1:4">
      <c r="A925" s="1"/>
      <c r="D925" s="1"/>
    </row>
    <row r="926" spans="1:4">
      <c r="A926" s="1"/>
      <c r="D926" s="1"/>
    </row>
    <row r="927" spans="1:4">
      <c r="A927" s="1"/>
      <c r="D927" s="1"/>
    </row>
    <row r="928" spans="1:4">
      <c r="A928" s="1"/>
      <c r="D928" s="1"/>
    </row>
    <row r="929" spans="1:4">
      <c r="A929" s="1"/>
      <c r="D929" s="1"/>
    </row>
    <row r="930" spans="1:4">
      <c r="A930" s="1"/>
      <c r="D930" s="1"/>
    </row>
    <row r="931" spans="1:4">
      <c r="A931" s="1"/>
      <c r="D931" s="1"/>
    </row>
    <row r="932" spans="1:4">
      <c r="A932" s="1"/>
      <c r="D932" s="1"/>
    </row>
    <row r="933" spans="1:4">
      <c r="A933" s="1"/>
      <c r="D933" s="1"/>
    </row>
    <row r="934" spans="1:4">
      <c r="A934" s="1"/>
      <c r="D934" s="1"/>
    </row>
    <row r="935" spans="1:4">
      <c r="A935" s="1"/>
      <c r="D935" s="1"/>
    </row>
    <row r="936" spans="1:4">
      <c r="A936" s="1"/>
      <c r="D936" s="1"/>
    </row>
    <row r="937" spans="1:4">
      <c r="A937" s="1"/>
      <c r="D937" s="1"/>
    </row>
    <row r="938" spans="1:4">
      <c r="A938" s="1"/>
      <c r="D938" s="1"/>
    </row>
    <row r="939" spans="1:4">
      <c r="A939" s="1"/>
      <c r="D939" s="1"/>
    </row>
    <row r="940" spans="1:4">
      <c r="A940" s="1"/>
      <c r="D940" s="1"/>
    </row>
    <row r="941" spans="1:4">
      <c r="A941" s="1"/>
      <c r="D941" s="1"/>
    </row>
    <row r="942" spans="1:4">
      <c r="A942" s="1"/>
      <c r="D942" s="1"/>
    </row>
    <row r="943" spans="1:4">
      <c r="A943" s="1"/>
      <c r="D943" s="1"/>
    </row>
    <row r="944" spans="1:4">
      <c r="A944" s="1"/>
      <c r="D944" s="1"/>
    </row>
    <row r="945" spans="1:4">
      <c r="A945" s="1"/>
      <c r="D945" s="1"/>
    </row>
    <row r="946" spans="1:4">
      <c r="A946" s="1"/>
      <c r="D946" s="1"/>
    </row>
    <row r="947" spans="1:4">
      <c r="A947" s="1"/>
      <c r="D947" s="1"/>
    </row>
    <row r="948" spans="1:4">
      <c r="A948" s="1"/>
      <c r="D948" s="1"/>
    </row>
    <row r="949" spans="1:4">
      <c r="A949" s="1"/>
      <c r="D949" s="1"/>
    </row>
    <row r="950" spans="1:4">
      <c r="A950" s="1"/>
      <c r="D950" s="1"/>
    </row>
    <row r="951" spans="1:4">
      <c r="A951" s="1"/>
      <c r="D951" s="1"/>
    </row>
    <row r="952" spans="1:4">
      <c r="A952" s="1"/>
      <c r="D952" s="1"/>
    </row>
    <row r="953" spans="1:4">
      <c r="A953" s="1"/>
      <c r="D953" s="1"/>
    </row>
    <row r="954" spans="1:4">
      <c r="A954" s="1"/>
      <c r="D954" s="1"/>
    </row>
    <row r="955" spans="1:4">
      <c r="A955" s="1"/>
      <c r="D955" s="1"/>
    </row>
    <row r="956" spans="1:4">
      <c r="A956" s="1"/>
      <c r="D956" s="1"/>
    </row>
    <row r="957" spans="1:4">
      <c r="A957" s="1"/>
      <c r="D957" s="1"/>
    </row>
    <row r="958" spans="1:4">
      <c r="A958" s="1"/>
      <c r="D958" s="1"/>
    </row>
    <row r="959" spans="1:4">
      <c r="A959" s="1"/>
      <c r="D959" s="1"/>
    </row>
    <row r="960" spans="1:4">
      <c r="A960" s="1"/>
      <c r="D960" s="1"/>
    </row>
    <row r="961" spans="1:4">
      <c r="A961" s="1"/>
      <c r="D961" s="1"/>
    </row>
    <row r="962" spans="1:4">
      <c r="A962" s="1"/>
      <c r="D962" s="1"/>
    </row>
    <row r="963" spans="1:4">
      <c r="A963" s="1"/>
      <c r="D963" s="1"/>
    </row>
    <row r="964" spans="1:4">
      <c r="A964" s="1"/>
      <c r="D964" s="1"/>
    </row>
    <row r="965" spans="1:4">
      <c r="A965" s="1"/>
      <c r="D965" s="1"/>
    </row>
    <row r="966" spans="1:4">
      <c r="A966" s="1"/>
      <c r="D966" s="1"/>
    </row>
    <row r="967" spans="1:4">
      <c r="A967" s="1"/>
      <c r="D967" s="1"/>
    </row>
    <row r="968" spans="1:4">
      <c r="A968" s="1"/>
      <c r="D968" s="1"/>
    </row>
    <row r="969" spans="1:4">
      <c r="A969" s="1"/>
      <c r="D969" s="1"/>
    </row>
    <row r="970" spans="1:4">
      <c r="A970" s="1"/>
      <c r="D970" s="1"/>
    </row>
    <row r="971" spans="1:4">
      <c r="A971" s="1"/>
      <c r="D971" s="1"/>
    </row>
    <row r="972" spans="1:4">
      <c r="A972" s="1"/>
      <c r="D972" s="1"/>
    </row>
    <row r="973" spans="1:4">
      <c r="A973" s="1"/>
      <c r="D973" s="1"/>
    </row>
    <row r="974" spans="1:4">
      <c r="A974" s="1"/>
      <c r="D974" s="1"/>
    </row>
    <row r="975" spans="1:4">
      <c r="A975" s="1"/>
      <c r="D975" s="1"/>
    </row>
    <row r="976" spans="1:4">
      <c r="A976" s="1"/>
      <c r="D976" s="1"/>
    </row>
    <row r="977" spans="1:4">
      <c r="A977" s="1"/>
      <c r="D977" s="1"/>
    </row>
    <row r="978" spans="1:4">
      <c r="A978" s="1"/>
      <c r="D978" s="1"/>
    </row>
    <row r="979" spans="1:4">
      <c r="A979" s="1"/>
      <c r="D979" s="1"/>
    </row>
    <row r="980" spans="1:4">
      <c r="A980" s="1"/>
      <c r="D980" s="1"/>
    </row>
    <row r="981" spans="1:4">
      <c r="A981" s="1"/>
      <c r="D981" s="1"/>
    </row>
    <row r="982" spans="1:4">
      <c r="A982" s="1"/>
      <c r="D982" s="1"/>
    </row>
    <row r="983" spans="1:4">
      <c r="A983" s="1"/>
      <c r="D983" s="1"/>
    </row>
    <row r="984" spans="1:4">
      <c r="A984" s="1"/>
      <c r="D984" s="1"/>
    </row>
    <row r="985" spans="1:4">
      <c r="A985" s="1"/>
      <c r="D985" s="1"/>
    </row>
    <row r="986" spans="1:4">
      <c r="A986" s="1"/>
      <c r="D986" s="1"/>
    </row>
    <row r="987" spans="1:4">
      <c r="A987" s="1"/>
      <c r="D987" s="1"/>
    </row>
    <row r="988" spans="1:4">
      <c r="A988" s="1"/>
      <c r="D988" s="1"/>
    </row>
    <row r="989" spans="1:4">
      <c r="A989" s="1"/>
      <c r="D989" s="1"/>
    </row>
    <row r="990" spans="1:4">
      <c r="A990" s="1"/>
      <c r="D990" s="1"/>
    </row>
    <row r="991" spans="1:4">
      <c r="A991" s="1"/>
      <c r="D991" s="1"/>
    </row>
    <row r="992" spans="1:4">
      <c r="A992" s="1"/>
      <c r="D992" s="1"/>
    </row>
    <row r="993" spans="1:4">
      <c r="A993" s="1"/>
      <c r="D993" s="1"/>
    </row>
    <row r="994" spans="1:4">
      <c r="A994" s="1"/>
      <c r="D994" s="1"/>
    </row>
    <row r="995" spans="1:4">
      <c r="A995" s="1"/>
      <c r="D995" s="1"/>
    </row>
    <row r="996" spans="1:4">
      <c r="A996" s="1"/>
      <c r="D996" s="1"/>
    </row>
    <row r="997" spans="1:4">
      <c r="A997" s="1"/>
      <c r="D997" s="1"/>
    </row>
    <row r="998" spans="1:4">
      <c r="A998" s="1"/>
      <c r="D998" s="1"/>
    </row>
    <row r="999" spans="1:4">
      <c r="A999" s="1"/>
      <c r="D999" s="1"/>
    </row>
    <row r="1000" spans="1:4">
      <c r="A1000" s="1"/>
      <c r="D1000" s="1"/>
    </row>
    <row r="1001" spans="1:4">
      <c r="A1001" s="1"/>
      <c r="D1001" s="1"/>
    </row>
    <row r="1002" spans="1:4">
      <c r="A1002" s="1"/>
      <c r="D1002" s="1"/>
    </row>
    <row r="1003" spans="1:4">
      <c r="A1003" s="1"/>
      <c r="D1003" s="1"/>
    </row>
    <row r="1004" spans="1:4">
      <c r="A1004" s="1"/>
      <c r="D1004" s="1"/>
    </row>
    <row r="1005" spans="1:4">
      <c r="A1005" s="1"/>
      <c r="D1005" s="1"/>
    </row>
    <row r="1006" spans="1:4">
      <c r="A1006" s="1"/>
      <c r="D1006" s="1"/>
    </row>
    <row r="1007" spans="1:4">
      <c r="A1007" s="1"/>
      <c r="D1007" s="1"/>
    </row>
    <row r="1008" spans="1:4">
      <c r="A1008" s="1"/>
      <c r="D1008" s="1"/>
    </row>
    <row r="1009" spans="1:4">
      <c r="A1009" s="1"/>
      <c r="D1009" s="1"/>
    </row>
    <row r="1010" spans="1:4">
      <c r="A1010" s="1"/>
      <c r="D1010" s="1"/>
    </row>
    <row r="1011" spans="1:4">
      <c r="A1011" s="1"/>
      <c r="D1011" s="1"/>
    </row>
    <row r="1012" spans="1:4">
      <c r="A1012" s="1"/>
      <c r="D1012" s="1"/>
    </row>
    <row r="1013" spans="1:4">
      <c r="A1013" s="1"/>
      <c r="D1013" s="1"/>
    </row>
    <row r="1014" spans="1:4">
      <c r="A1014" s="1"/>
      <c r="D1014" s="1"/>
    </row>
    <row r="1015" spans="1:4">
      <c r="A1015" s="1"/>
      <c r="D1015" s="1"/>
    </row>
    <row r="1016" spans="1:4">
      <c r="A1016" s="1"/>
      <c r="D1016" s="1"/>
    </row>
    <row r="1017" spans="1:4">
      <c r="A1017" s="1"/>
      <c r="D1017" s="1"/>
    </row>
    <row r="1018" spans="1:4">
      <c r="A1018" s="1"/>
      <c r="D1018" s="1"/>
    </row>
    <row r="1019" spans="1:4">
      <c r="A1019" s="1"/>
      <c r="D1019" s="1"/>
    </row>
    <row r="1020" spans="1:4">
      <c r="A1020" s="1"/>
      <c r="D1020" s="1"/>
    </row>
    <row r="1021" spans="1:4">
      <c r="A1021" s="1"/>
      <c r="D1021" s="1"/>
    </row>
    <row r="1022" spans="1:4">
      <c r="A1022" s="1"/>
      <c r="D1022" s="1"/>
    </row>
    <row r="1023" spans="1:4">
      <c r="A1023" s="1"/>
      <c r="D1023" s="1"/>
    </row>
    <row r="1024" spans="1:4">
      <c r="A1024" s="1"/>
      <c r="D1024" s="1"/>
    </row>
    <row r="1025" spans="1:4">
      <c r="A1025" s="1"/>
      <c r="D1025" s="1"/>
    </row>
    <row r="1026" spans="1:4">
      <c r="A1026" s="1"/>
      <c r="D1026" s="1"/>
    </row>
    <row r="1027" spans="1:4">
      <c r="A1027" s="1"/>
      <c r="D1027" s="1"/>
    </row>
    <row r="1028" spans="1:4">
      <c r="A1028" s="1"/>
      <c r="D1028" s="1"/>
    </row>
    <row r="1029" spans="1:4">
      <c r="A1029" s="1"/>
      <c r="D1029" s="1"/>
    </row>
    <row r="1030" spans="1:4">
      <c r="A1030" s="1"/>
      <c r="D1030" s="1"/>
    </row>
    <row r="1031" spans="1:4">
      <c r="A1031" s="1"/>
      <c r="D1031" s="1"/>
    </row>
    <row r="1032" spans="1:4">
      <c r="A1032" s="1"/>
      <c r="D1032" s="1"/>
    </row>
    <row r="1033" spans="1:4">
      <c r="A1033" s="1"/>
      <c r="D1033" s="1"/>
    </row>
    <row r="1034" spans="1:4">
      <c r="A1034" s="1"/>
      <c r="D1034" s="1"/>
    </row>
    <row r="1035" spans="1:4">
      <c r="A1035" s="1"/>
      <c r="D1035" s="1"/>
    </row>
    <row r="1036" spans="1:4">
      <c r="A1036" s="1"/>
      <c r="D1036" s="1"/>
    </row>
    <row r="1037" spans="1:4">
      <c r="A1037" s="1"/>
      <c r="D1037" s="1"/>
    </row>
    <row r="1038" spans="1:4">
      <c r="A1038" s="1"/>
      <c r="D1038" s="1"/>
    </row>
    <row r="1039" spans="1:4">
      <c r="A1039" s="1"/>
      <c r="D1039" s="1"/>
    </row>
    <row r="1040" spans="1:4">
      <c r="A1040" s="1"/>
      <c r="D1040" s="1"/>
    </row>
    <row r="1041" spans="1:4">
      <c r="A1041" s="1"/>
      <c r="D1041" s="1"/>
    </row>
    <row r="1042" spans="1:4">
      <c r="A1042" s="1"/>
      <c r="D1042" s="1"/>
    </row>
    <row r="1043" spans="1:4">
      <c r="A1043" s="1"/>
      <c r="D1043" s="1"/>
    </row>
    <row r="1044" spans="1:4">
      <c r="A1044" s="1"/>
      <c r="D1044" s="1"/>
    </row>
    <row r="1045" spans="1:4">
      <c r="A1045" s="1"/>
      <c r="D1045" s="1"/>
    </row>
    <row r="1046" spans="1:4">
      <c r="A1046" s="1"/>
      <c r="D1046" s="1"/>
    </row>
    <row r="1047" spans="1:4">
      <c r="A1047" s="1"/>
      <c r="D1047" s="1"/>
    </row>
    <row r="1048" spans="1:4">
      <c r="A1048" s="1"/>
      <c r="D1048" s="1"/>
    </row>
    <row r="1049" spans="1:4">
      <c r="A1049" s="1"/>
      <c r="D1049" s="1"/>
    </row>
    <row r="1050" spans="1:4">
      <c r="A1050" s="1"/>
      <c r="D1050" s="1"/>
    </row>
    <row r="1051" spans="1:4">
      <c r="A1051" s="1"/>
      <c r="D1051" s="1"/>
    </row>
    <row r="1052" spans="1:4">
      <c r="A1052" s="1"/>
      <c r="D1052" s="1"/>
    </row>
    <row r="1053" spans="1:4">
      <c r="A1053" s="1"/>
      <c r="D1053" s="1"/>
    </row>
    <row r="1054" spans="1:4">
      <c r="A1054" s="1"/>
      <c r="D1054" s="1"/>
    </row>
    <row r="1055" spans="1:4">
      <c r="A1055" s="1"/>
      <c r="D1055" s="1"/>
    </row>
    <row r="1056" spans="1:4">
      <c r="A1056" s="1"/>
      <c r="D1056" s="1"/>
    </row>
    <row r="1057" spans="1:4">
      <c r="A1057" s="1"/>
      <c r="D1057" s="1"/>
    </row>
    <row r="1058" spans="1:4">
      <c r="A1058" s="1"/>
      <c r="D1058" s="1"/>
    </row>
    <row r="1059" spans="1:4">
      <c r="A1059" s="1"/>
      <c r="D1059" s="1"/>
    </row>
    <row r="1060" spans="1:4">
      <c r="A1060" s="1"/>
      <c r="D1060" s="1"/>
    </row>
    <row r="1061" spans="1:4">
      <c r="A1061" s="1"/>
      <c r="D1061" s="1"/>
    </row>
    <row r="1062" spans="1:4">
      <c r="A1062" s="1"/>
      <c r="D1062" s="1"/>
    </row>
    <row r="1063" spans="1:4">
      <c r="A1063" s="1"/>
      <c r="D1063" s="1"/>
    </row>
    <row r="1064" spans="1:4">
      <c r="A1064" s="1"/>
      <c r="D1064" s="1"/>
    </row>
    <row r="1065" spans="1:4">
      <c r="A1065" s="1"/>
      <c r="D1065" s="1"/>
    </row>
    <row r="1066" spans="1:4">
      <c r="A1066" s="1"/>
      <c r="D1066" s="1"/>
    </row>
    <row r="1067" spans="1:4">
      <c r="A1067" s="1"/>
      <c r="D1067" s="1"/>
    </row>
    <row r="1068" spans="1:4">
      <c r="A1068" s="1"/>
      <c r="D1068" s="1"/>
    </row>
    <row r="1069" spans="1:4">
      <c r="A1069" s="1"/>
      <c r="D1069" s="1"/>
    </row>
    <row r="1070" spans="1:4">
      <c r="A1070" s="1"/>
      <c r="D1070" s="1"/>
    </row>
    <row r="1071" spans="1:4">
      <c r="A1071" s="1"/>
      <c r="D1071" s="1"/>
    </row>
    <row r="1072" spans="1:4">
      <c r="A1072" s="1"/>
      <c r="D1072" s="1"/>
    </row>
    <row r="1073" spans="1:4">
      <c r="A1073" s="1"/>
      <c r="D1073" s="1"/>
    </row>
    <row r="1074" spans="1:4">
      <c r="A1074" s="1"/>
      <c r="D1074" s="1"/>
    </row>
    <row r="1075" spans="1:4">
      <c r="A1075" s="1"/>
      <c r="D1075" s="1"/>
    </row>
    <row r="1076" spans="1:4">
      <c r="A1076" s="1"/>
      <c r="D1076" s="1"/>
    </row>
    <row r="1077" spans="1:4">
      <c r="A1077" s="1"/>
      <c r="D1077" s="1"/>
    </row>
    <row r="1078" spans="1:4">
      <c r="A1078" s="1"/>
      <c r="D1078" s="1"/>
    </row>
    <row r="1079" spans="1:4">
      <c r="A1079" s="1"/>
      <c r="D1079" s="1"/>
    </row>
    <row r="1080" spans="1:4">
      <c r="A1080" s="1"/>
      <c r="D1080" s="1"/>
    </row>
    <row r="1081" spans="1:4">
      <c r="A1081" s="1"/>
      <c r="D1081" s="1"/>
    </row>
    <row r="1082" spans="1:4">
      <c r="A1082" s="1"/>
      <c r="D1082" s="1"/>
    </row>
    <row r="1083" spans="1:4">
      <c r="A1083" s="1"/>
      <c r="D1083" s="1"/>
    </row>
    <row r="1084" spans="1:4">
      <c r="A1084" s="1"/>
      <c r="D1084" s="1"/>
    </row>
    <row r="1085" spans="1:4">
      <c r="A1085" s="1"/>
      <c r="D1085" s="1"/>
    </row>
    <row r="1086" spans="1:4">
      <c r="A1086" s="1"/>
      <c r="D1086" s="1"/>
    </row>
    <row r="1087" spans="1:4">
      <c r="A1087" s="1"/>
      <c r="D1087" s="1"/>
    </row>
    <row r="1088" spans="1:4">
      <c r="A1088" s="1"/>
      <c r="D1088" s="1"/>
    </row>
    <row r="1089" spans="1:4">
      <c r="A1089" s="1"/>
      <c r="D1089" s="1"/>
    </row>
    <row r="1090" spans="1:4">
      <c r="A1090" s="1"/>
      <c r="D1090" s="1"/>
    </row>
    <row r="1091" spans="1:4">
      <c r="A1091" s="1"/>
      <c r="D1091" s="1"/>
    </row>
    <row r="1092" spans="1:4">
      <c r="A1092" s="1"/>
      <c r="D1092" s="1"/>
    </row>
    <row r="1093" spans="1:4">
      <c r="A1093" s="1"/>
      <c r="D1093" s="1"/>
    </row>
    <row r="1094" spans="1:4">
      <c r="A1094" s="1"/>
      <c r="D1094" s="1"/>
    </row>
    <row r="1095" spans="1:4">
      <c r="A1095" s="1"/>
      <c r="D1095" s="1"/>
    </row>
    <row r="1096" spans="1:4">
      <c r="A1096" s="1"/>
      <c r="D1096" s="1"/>
    </row>
    <row r="1097" spans="1:4">
      <c r="A1097" s="1"/>
      <c r="D1097" s="1"/>
    </row>
    <row r="1098" spans="1:4">
      <c r="A1098" s="1"/>
      <c r="D1098" s="1"/>
    </row>
    <row r="1099" spans="1:4">
      <c r="A1099" s="1"/>
      <c r="D1099" s="1"/>
    </row>
    <row r="1100" spans="1:4">
      <c r="A1100" s="1"/>
      <c r="D1100" s="1"/>
    </row>
    <row r="1101" spans="1:4">
      <c r="A1101" s="1"/>
      <c r="D1101" s="1"/>
    </row>
    <row r="1102" spans="1:4">
      <c r="A1102" s="1"/>
      <c r="D1102" s="1"/>
    </row>
    <row r="1103" spans="1:4">
      <c r="A1103" s="1"/>
      <c r="D1103" s="1"/>
    </row>
    <row r="1104" spans="1:4">
      <c r="A1104" s="1"/>
      <c r="D1104" s="1"/>
    </row>
    <row r="1105" spans="1:4">
      <c r="A1105" s="1"/>
      <c r="D1105" s="1"/>
    </row>
    <row r="1106" spans="1:4">
      <c r="A1106" s="1"/>
      <c r="D1106" s="1"/>
    </row>
    <row r="1107" spans="1:4">
      <c r="A1107" s="1"/>
      <c r="D1107" s="1"/>
    </row>
    <row r="1108" spans="1:4">
      <c r="A1108" s="1"/>
      <c r="D1108" s="1"/>
    </row>
    <row r="1109" spans="1:4">
      <c r="A1109" s="1"/>
      <c r="D1109" s="1"/>
    </row>
    <row r="1110" spans="1:4">
      <c r="A1110" s="1"/>
      <c r="D1110" s="1"/>
    </row>
    <row r="1111" spans="1:4">
      <c r="A1111" s="1"/>
      <c r="D1111" s="1"/>
    </row>
    <row r="1112" spans="1:4">
      <c r="A1112" s="1"/>
      <c r="D1112" s="1"/>
    </row>
    <row r="1113" spans="1:4">
      <c r="A1113" s="1"/>
      <c r="D1113" s="1"/>
    </row>
    <row r="1114" spans="1:4">
      <c r="A1114" s="1"/>
      <c r="D1114" s="1"/>
    </row>
    <row r="1115" spans="1:4">
      <c r="A1115" s="1"/>
      <c r="D1115" s="1"/>
    </row>
    <row r="1116" spans="1:4">
      <c r="A1116" s="1"/>
      <c r="D1116" s="1"/>
    </row>
    <row r="1117" spans="1:4">
      <c r="A1117" s="1"/>
      <c r="D1117" s="1"/>
    </row>
    <row r="1118" spans="1:4">
      <c r="A1118" s="1"/>
      <c r="D1118" s="1"/>
    </row>
    <row r="1119" spans="1:4">
      <c r="A1119" s="1"/>
      <c r="D1119" s="1"/>
    </row>
    <row r="1120" spans="1:4">
      <c r="A1120" s="1"/>
      <c r="D1120" s="1"/>
    </row>
    <row r="1121" spans="1:4">
      <c r="A1121" s="1"/>
      <c r="D1121" s="1"/>
    </row>
    <row r="1122" spans="1:4">
      <c r="A1122" s="1"/>
      <c r="D1122" s="1"/>
    </row>
    <row r="1123" spans="1:4">
      <c r="A1123" s="1"/>
      <c r="D1123" s="1"/>
    </row>
    <row r="1124" spans="1:4">
      <c r="A1124" s="1"/>
      <c r="D1124" s="1"/>
    </row>
    <row r="1125" spans="1:4">
      <c r="A1125" s="1"/>
      <c r="D1125" s="1"/>
    </row>
    <row r="1126" spans="1:4">
      <c r="A1126" s="1"/>
      <c r="D1126" s="1"/>
    </row>
    <row r="1127" spans="1:4">
      <c r="A1127" s="1"/>
      <c r="D1127" s="1"/>
    </row>
    <row r="1128" spans="1:4">
      <c r="A1128" s="1"/>
      <c r="D1128" s="1"/>
    </row>
    <row r="1129" spans="1:4">
      <c r="A1129" s="1"/>
      <c r="D1129" s="1"/>
    </row>
    <row r="1130" spans="1:4">
      <c r="A1130" s="1"/>
      <c r="D1130" s="1"/>
    </row>
    <row r="1131" spans="1:4">
      <c r="A1131" s="1"/>
      <c r="D1131" s="1"/>
    </row>
    <row r="1132" spans="1:4">
      <c r="A1132" s="1"/>
      <c r="D1132" s="1"/>
    </row>
    <row r="1133" spans="1:4">
      <c r="A1133" s="1"/>
      <c r="D1133" s="1"/>
    </row>
    <row r="1134" spans="1:4">
      <c r="A1134" s="1"/>
      <c r="D1134" s="1"/>
    </row>
    <row r="1135" spans="1:4">
      <c r="A1135" s="1"/>
      <c r="D1135" s="1"/>
    </row>
    <row r="1136" spans="1:4">
      <c r="A1136" s="1"/>
      <c r="D1136" s="1"/>
    </row>
    <row r="1137" spans="1:4">
      <c r="A1137" s="1"/>
      <c r="D1137" s="1"/>
    </row>
    <row r="1138" spans="1:4">
      <c r="A1138" s="1"/>
      <c r="D1138" s="1"/>
    </row>
    <row r="1139" spans="1:4">
      <c r="A1139" s="1"/>
      <c r="D1139" s="1"/>
    </row>
    <row r="1140" spans="1:4">
      <c r="A1140" s="1"/>
      <c r="D1140" s="1"/>
    </row>
    <row r="1141" spans="1:4">
      <c r="A1141" s="1"/>
      <c r="D1141" s="1"/>
    </row>
    <row r="1142" spans="1:4">
      <c r="A1142" s="1"/>
      <c r="D1142" s="1"/>
    </row>
    <row r="1143" spans="1:4">
      <c r="A1143" s="1"/>
      <c r="D1143" s="1"/>
    </row>
    <row r="1144" spans="1:4">
      <c r="A1144" s="1"/>
      <c r="D1144" s="1"/>
    </row>
    <row r="1145" spans="1:4">
      <c r="A1145" s="1"/>
      <c r="D1145" s="1"/>
    </row>
    <row r="1146" spans="1:4">
      <c r="A1146" s="1"/>
      <c r="D1146" s="1"/>
    </row>
    <row r="1147" spans="1:4">
      <c r="A1147" s="1"/>
      <c r="D1147" s="1"/>
    </row>
    <row r="1148" spans="1:4">
      <c r="A1148" s="1"/>
      <c r="D1148" s="1"/>
    </row>
    <row r="1149" spans="1:4">
      <c r="A1149" s="1"/>
      <c r="D1149" s="1"/>
    </row>
    <row r="1150" spans="1:4">
      <c r="A1150" s="1"/>
      <c r="D1150" s="1"/>
    </row>
    <row r="1151" spans="1:4">
      <c r="A1151" s="1"/>
      <c r="D1151" s="1"/>
    </row>
    <row r="1152" spans="1:4">
      <c r="A1152" s="1"/>
      <c r="D1152" s="1"/>
    </row>
    <row r="1153" spans="1:4">
      <c r="A1153" s="1"/>
      <c r="D1153" s="1"/>
    </row>
    <row r="1154" spans="1:4">
      <c r="A1154" s="1"/>
      <c r="D1154" s="1"/>
    </row>
    <row r="1155" spans="1:4">
      <c r="A1155" s="1"/>
      <c r="D1155" s="1"/>
    </row>
    <row r="1156" spans="1:4">
      <c r="A1156" s="1"/>
      <c r="D1156" s="1"/>
    </row>
    <row r="1157" spans="1:4">
      <c r="A1157" s="1"/>
      <c r="D1157" s="1"/>
    </row>
    <row r="1158" spans="1:4">
      <c r="A1158" s="1"/>
      <c r="D1158" s="1"/>
    </row>
    <row r="1159" spans="1:4">
      <c r="A1159" s="1"/>
      <c r="D1159" s="1"/>
    </row>
    <row r="1160" spans="1:4">
      <c r="A1160" s="1"/>
      <c r="D1160" s="1"/>
    </row>
    <row r="1161" spans="1:4">
      <c r="A1161" s="1"/>
      <c r="D1161" s="1"/>
    </row>
    <row r="1162" spans="1:4">
      <c r="A1162" s="1"/>
      <c r="D1162" s="1"/>
    </row>
    <row r="1163" spans="1:4">
      <c r="A1163" s="1"/>
      <c r="D1163" s="1"/>
    </row>
    <row r="1164" spans="1:4">
      <c r="A1164" s="1"/>
      <c r="D1164" s="1"/>
    </row>
    <row r="1165" spans="1:4">
      <c r="A1165" s="1"/>
      <c r="D1165" s="1"/>
    </row>
    <row r="1166" spans="1:4">
      <c r="A1166" s="1"/>
      <c r="D1166" s="1"/>
    </row>
    <row r="1167" spans="1:4">
      <c r="A1167" s="1"/>
      <c r="D1167" s="1"/>
    </row>
    <row r="1168" spans="1:4">
      <c r="A1168" s="1"/>
      <c r="D1168" s="1"/>
    </row>
    <row r="1169" spans="1:4">
      <c r="A1169" s="1"/>
      <c r="D1169" s="1"/>
    </row>
    <row r="1170" spans="1:4">
      <c r="A1170" s="1"/>
      <c r="D1170" s="1"/>
    </row>
    <row r="1171" spans="1:4">
      <c r="A1171" s="1"/>
      <c r="D1171" s="1"/>
    </row>
    <row r="1172" spans="1:4">
      <c r="A1172" s="1"/>
      <c r="D1172" s="1"/>
    </row>
    <row r="1173" spans="1:4">
      <c r="A1173" s="1"/>
      <c r="D1173" s="1"/>
    </row>
    <row r="1174" spans="1:4">
      <c r="A1174" s="1"/>
      <c r="D1174" s="1"/>
    </row>
    <row r="1175" spans="1:4">
      <c r="A1175" s="1"/>
      <c r="D1175" s="1"/>
    </row>
    <row r="1176" spans="1:4">
      <c r="A1176" s="1"/>
      <c r="D1176" s="1"/>
    </row>
    <row r="1177" spans="1:4">
      <c r="A1177" s="1"/>
      <c r="D1177" s="1"/>
    </row>
    <row r="1178" spans="1:4">
      <c r="A1178" s="1"/>
      <c r="D1178" s="1"/>
    </row>
    <row r="1179" spans="1:4">
      <c r="A1179" s="1"/>
      <c r="D1179" s="1"/>
    </row>
    <row r="1180" spans="1:4">
      <c r="A1180" s="1"/>
      <c r="D1180" s="1"/>
    </row>
    <row r="1181" spans="1:4">
      <c r="A1181" s="1"/>
      <c r="D1181" s="1"/>
    </row>
    <row r="1182" spans="1:4">
      <c r="A1182" s="1"/>
      <c r="D1182" s="1"/>
    </row>
    <row r="1183" spans="1:4">
      <c r="A1183" s="1"/>
      <c r="D1183" s="1"/>
    </row>
    <row r="1184" spans="1:4">
      <c r="A1184" s="1"/>
      <c r="D1184" s="1"/>
    </row>
    <row r="1185" spans="1:4">
      <c r="A1185" s="1"/>
      <c r="D1185" s="1"/>
    </row>
    <row r="1186" spans="1:4">
      <c r="A1186" s="1"/>
      <c r="D1186" s="1"/>
    </row>
    <row r="1187" spans="1:4">
      <c r="A1187" s="1"/>
      <c r="D1187" s="1"/>
    </row>
    <row r="1188" spans="1:4">
      <c r="A1188" s="1"/>
      <c r="D1188" s="1"/>
    </row>
    <row r="1189" spans="1:4">
      <c r="A1189" s="1"/>
      <c r="D1189" s="1"/>
    </row>
    <row r="1190" spans="1:4">
      <c r="A1190" s="1"/>
      <c r="D1190" s="1"/>
    </row>
    <row r="1191" spans="1:4">
      <c r="A1191" s="1"/>
      <c r="D1191" s="1"/>
    </row>
    <row r="1192" spans="1:4">
      <c r="A1192" s="1"/>
      <c r="D1192" s="1"/>
    </row>
    <row r="1193" spans="1:4">
      <c r="A1193" s="1"/>
      <c r="D1193" s="1"/>
    </row>
    <row r="1194" spans="1:4">
      <c r="A1194" s="1"/>
      <c r="D1194" s="1"/>
    </row>
    <row r="1195" spans="1:4">
      <c r="A1195" s="1"/>
      <c r="D1195" s="1"/>
    </row>
    <row r="1196" spans="1:4">
      <c r="A1196" s="1"/>
      <c r="D1196" s="1"/>
    </row>
    <row r="1197" spans="1:4">
      <c r="A1197" s="1"/>
      <c r="D1197" s="1"/>
    </row>
    <row r="1198" spans="1:4">
      <c r="A1198" s="1"/>
      <c r="D1198" s="1"/>
    </row>
    <row r="1199" spans="1:4">
      <c r="A1199" s="1"/>
      <c r="D1199" s="1"/>
    </row>
    <row r="1200" spans="1:4">
      <c r="A1200" s="1"/>
      <c r="D1200" s="1"/>
    </row>
    <row r="1201" spans="1:4">
      <c r="A1201" s="1"/>
      <c r="D1201" s="1"/>
    </row>
    <row r="1202" spans="1:4">
      <c r="A1202" s="1"/>
      <c r="D1202" s="1"/>
    </row>
    <row r="1203" spans="1:4">
      <c r="A1203" s="1"/>
      <c r="D1203" s="1"/>
    </row>
    <row r="1204" spans="1:4">
      <c r="A1204" s="1"/>
      <c r="D1204" s="1"/>
    </row>
    <row r="1205" spans="1:4">
      <c r="A1205" s="1"/>
      <c r="D1205" s="1"/>
    </row>
    <row r="1206" spans="1:4">
      <c r="A1206" s="1"/>
      <c r="D1206" s="1"/>
    </row>
    <row r="1207" spans="1:4">
      <c r="A1207" s="1"/>
      <c r="D1207" s="1"/>
    </row>
    <row r="1208" spans="1:4">
      <c r="A1208" s="1"/>
      <c r="D1208" s="1"/>
    </row>
    <row r="1209" spans="1:4">
      <c r="A1209" s="1"/>
      <c r="D1209" s="1"/>
    </row>
    <row r="1210" spans="1:4">
      <c r="A1210" s="1"/>
      <c r="D1210" s="1"/>
    </row>
    <row r="1211" spans="1:4">
      <c r="A1211" s="1"/>
      <c r="D1211" s="1"/>
    </row>
    <row r="1212" spans="1:4">
      <c r="A1212" s="1"/>
      <c r="D1212" s="1"/>
    </row>
    <row r="1213" spans="1:4">
      <c r="A1213" s="1"/>
      <c r="D1213" s="1"/>
    </row>
    <row r="1214" spans="1:4">
      <c r="A1214" s="1"/>
      <c r="D1214" s="1"/>
    </row>
    <row r="1215" spans="1:4">
      <c r="A1215" s="1"/>
      <c r="D1215" s="1"/>
    </row>
    <row r="1216" spans="1:4">
      <c r="A1216" s="1"/>
      <c r="D1216" s="1"/>
    </row>
    <row r="1217" spans="1:4">
      <c r="A1217" s="1"/>
      <c r="D1217" s="1"/>
    </row>
    <row r="1218" spans="1:4">
      <c r="A1218" s="1"/>
      <c r="D1218" s="1"/>
    </row>
    <row r="1219" spans="1:4">
      <c r="A1219" s="1"/>
      <c r="D1219" s="1"/>
    </row>
    <row r="1220" spans="1:4">
      <c r="A1220" s="1"/>
      <c r="D1220" s="1"/>
    </row>
    <row r="1221" spans="1:4">
      <c r="A1221" s="1"/>
      <c r="D1221" s="1"/>
    </row>
    <row r="1222" spans="1:4">
      <c r="A1222" s="1"/>
      <c r="D1222" s="1"/>
    </row>
    <row r="1223" spans="1:4">
      <c r="A1223" s="1"/>
      <c r="D1223" s="1"/>
    </row>
    <row r="1224" spans="1:4">
      <c r="A1224" s="1"/>
      <c r="D1224" s="1"/>
    </row>
    <row r="1225" spans="1:4">
      <c r="A1225" s="1"/>
      <c r="D1225" s="1"/>
    </row>
    <row r="1226" spans="1:4">
      <c r="A1226" s="1"/>
      <c r="D1226" s="1"/>
    </row>
    <row r="1227" spans="1:4">
      <c r="A1227" s="1"/>
      <c r="D1227" s="1"/>
    </row>
    <row r="1228" spans="1:4">
      <c r="A1228" s="1"/>
      <c r="D1228" s="1"/>
    </row>
    <row r="1229" spans="1:4">
      <c r="A1229" s="1"/>
      <c r="D1229" s="1"/>
    </row>
    <row r="1230" spans="1:4">
      <c r="A1230" s="1"/>
      <c r="D1230" s="1"/>
    </row>
    <row r="1231" spans="1:4">
      <c r="A1231" s="1"/>
      <c r="D1231" s="1"/>
    </row>
    <row r="1232" spans="1:4">
      <c r="A1232" s="1"/>
      <c r="D1232" s="1"/>
    </row>
    <row r="1233" spans="1:4">
      <c r="A1233" s="1"/>
      <c r="D1233" s="1"/>
    </row>
    <row r="1234" spans="1:4">
      <c r="A1234" s="1"/>
      <c r="D1234" s="1"/>
    </row>
    <row r="1235" spans="1:4">
      <c r="A1235" s="1"/>
      <c r="D1235" s="1"/>
    </row>
    <row r="1236" spans="1:4">
      <c r="A1236" s="1"/>
      <c r="D1236" s="1"/>
    </row>
    <row r="1237" spans="1:4">
      <c r="A1237" s="1"/>
      <c r="D1237" s="1"/>
    </row>
    <row r="1238" spans="1:4">
      <c r="A1238" s="1"/>
      <c r="D1238" s="1"/>
    </row>
    <row r="1239" spans="1:4">
      <c r="A1239" s="1"/>
      <c r="D1239" s="1"/>
    </row>
    <row r="1240" spans="1:4">
      <c r="A1240" s="1"/>
      <c r="D1240" s="1"/>
    </row>
    <row r="1241" spans="1:4">
      <c r="A1241" s="1"/>
      <c r="D1241" s="1"/>
    </row>
    <row r="1242" spans="1:4">
      <c r="A1242" s="1"/>
      <c r="D1242" s="1"/>
    </row>
    <row r="1243" spans="1:4">
      <c r="A1243" s="1"/>
      <c r="D1243" s="1"/>
    </row>
    <row r="1244" spans="1:4">
      <c r="A1244" s="1"/>
      <c r="D1244" s="1"/>
    </row>
    <row r="1245" spans="1:4">
      <c r="A1245" s="1"/>
      <c r="D1245" s="1"/>
    </row>
    <row r="1246" spans="1:4">
      <c r="A1246" s="1"/>
      <c r="D1246" s="1"/>
    </row>
    <row r="1247" spans="1:4">
      <c r="A1247" s="1"/>
      <c r="D1247" s="1"/>
    </row>
    <row r="1248" spans="1:4">
      <c r="A1248" s="1"/>
      <c r="D1248" s="1"/>
    </row>
    <row r="1249" spans="1:4">
      <c r="A1249" s="1"/>
      <c r="D1249" s="1"/>
    </row>
    <row r="1250" spans="1:4">
      <c r="A1250" s="1"/>
      <c r="D1250" s="1"/>
    </row>
    <row r="1251" spans="1:4">
      <c r="A1251" s="1"/>
      <c r="D1251" s="1"/>
    </row>
    <row r="1252" spans="1:4">
      <c r="A1252" s="1"/>
      <c r="D1252" s="1"/>
    </row>
    <row r="1253" spans="1:4">
      <c r="A1253" s="1"/>
      <c r="D1253" s="1"/>
    </row>
    <row r="1254" spans="1:4">
      <c r="A1254" s="1"/>
      <c r="D1254" s="1"/>
    </row>
    <row r="1255" spans="1:4">
      <c r="A1255" s="1"/>
      <c r="D1255" s="1"/>
    </row>
    <row r="1256" spans="1:4">
      <c r="A1256" s="1"/>
      <c r="D1256" s="1"/>
    </row>
    <row r="1257" spans="1:4">
      <c r="A1257" s="1"/>
      <c r="D1257" s="1"/>
    </row>
    <row r="1258" spans="1:4">
      <c r="A1258" s="1"/>
      <c r="D1258" s="1"/>
    </row>
    <row r="1259" spans="1:4">
      <c r="A1259" s="1"/>
      <c r="D1259" s="1"/>
    </row>
    <row r="1260" spans="1:4">
      <c r="A1260" s="1"/>
      <c r="D1260" s="1"/>
    </row>
    <row r="1261" spans="1:4">
      <c r="A1261" s="1"/>
      <c r="D1261" s="1"/>
    </row>
    <row r="1262" spans="1:4">
      <c r="A1262" s="1"/>
      <c r="D1262" s="1"/>
    </row>
    <row r="1263" spans="1:4">
      <c r="A1263" s="1"/>
      <c r="D1263" s="1"/>
    </row>
    <row r="1264" spans="1:4">
      <c r="A1264" s="1"/>
      <c r="D1264" s="1"/>
    </row>
    <row r="1265" spans="1:4">
      <c r="A1265" s="1"/>
      <c r="D1265" s="1"/>
    </row>
    <row r="1266" spans="1:4">
      <c r="A1266" s="1"/>
      <c r="D1266" s="1"/>
    </row>
    <row r="1267" spans="1:4">
      <c r="A1267" s="1"/>
      <c r="D1267" s="1"/>
    </row>
    <row r="1268" spans="1:4">
      <c r="A1268" s="1"/>
      <c r="D1268" s="1"/>
    </row>
    <row r="1269" spans="1:4">
      <c r="A1269" s="1"/>
      <c r="D1269" s="1"/>
    </row>
    <row r="1270" spans="1:4">
      <c r="A1270" s="1"/>
      <c r="D1270" s="1"/>
    </row>
    <row r="1271" spans="1:4">
      <c r="A1271" s="1"/>
      <c r="D1271" s="1"/>
    </row>
    <row r="1272" spans="1:4">
      <c r="A1272" s="1"/>
      <c r="D1272" s="1"/>
    </row>
    <row r="1273" spans="1:4">
      <c r="A1273" s="1"/>
      <c r="D1273" s="1"/>
    </row>
    <row r="1274" spans="1:4">
      <c r="A1274" s="1"/>
      <c r="D1274" s="1"/>
    </row>
    <row r="1275" spans="1:4">
      <c r="A1275" s="1"/>
      <c r="D1275" s="1"/>
    </row>
    <row r="1276" spans="1:4">
      <c r="A1276" s="1"/>
      <c r="D1276" s="1"/>
    </row>
    <row r="1277" spans="1:4">
      <c r="A1277" s="1"/>
      <c r="D1277" s="1"/>
    </row>
    <row r="1278" spans="1:4">
      <c r="A1278" s="1"/>
      <c r="D1278" s="1"/>
    </row>
    <row r="1279" spans="1:4">
      <c r="A1279" s="1"/>
      <c r="D1279" s="1"/>
    </row>
    <row r="1280" spans="1:4">
      <c r="A1280" s="1"/>
      <c r="D1280" s="1"/>
    </row>
    <row r="1281" spans="1:4">
      <c r="A1281" s="1"/>
      <c r="D1281" s="1"/>
    </row>
    <row r="1282" spans="1:4">
      <c r="A1282" s="1"/>
      <c r="D1282" s="1"/>
    </row>
    <row r="1283" spans="1:4">
      <c r="A1283" s="1"/>
      <c r="D1283" s="1"/>
    </row>
    <row r="1284" spans="1:4">
      <c r="A1284" s="1"/>
      <c r="D1284" s="1"/>
    </row>
    <row r="1285" spans="1:4">
      <c r="A1285" s="1"/>
      <c r="D1285" s="1"/>
    </row>
    <row r="1286" spans="1:4">
      <c r="A1286" s="1"/>
      <c r="D1286" s="1"/>
    </row>
    <row r="1287" spans="1:4">
      <c r="A1287" s="1"/>
      <c r="D1287" s="1"/>
    </row>
    <row r="1288" spans="1:4">
      <c r="A1288" s="1"/>
      <c r="D1288" s="1"/>
    </row>
    <row r="1289" spans="1:4">
      <c r="A1289" s="1"/>
      <c r="D1289" s="1"/>
    </row>
    <row r="1290" spans="1:4">
      <c r="A1290" s="1"/>
      <c r="D1290" s="1"/>
    </row>
    <row r="1291" spans="1:4">
      <c r="A1291" s="1"/>
      <c r="D1291" s="1"/>
    </row>
    <row r="1292" spans="1:4">
      <c r="A1292" s="1"/>
      <c r="D1292" s="1"/>
    </row>
    <row r="1293" spans="1:4">
      <c r="A1293" s="1"/>
      <c r="D1293" s="1"/>
    </row>
    <row r="1294" spans="1:4">
      <c r="A1294" s="1"/>
      <c r="D1294" s="1"/>
    </row>
    <row r="1295" spans="1:4">
      <c r="A1295" s="1"/>
      <c r="D1295" s="1"/>
    </row>
    <row r="1296" spans="1:4">
      <c r="A1296" s="1"/>
      <c r="D1296" s="1"/>
    </row>
    <row r="1297" spans="1:4">
      <c r="A1297" s="1"/>
      <c r="D1297" s="1"/>
    </row>
    <row r="1298" spans="1:4">
      <c r="A1298" s="1"/>
      <c r="D1298" s="1"/>
    </row>
    <row r="1299" spans="1:4">
      <c r="A1299" s="1"/>
      <c r="D1299" s="1"/>
    </row>
    <row r="1300" spans="1:4">
      <c r="A1300" s="1"/>
      <c r="D1300" s="1"/>
    </row>
    <row r="1301" spans="1:4">
      <c r="A1301" s="1"/>
      <c r="D1301" s="1"/>
    </row>
    <row r="1302" spans="1:4">
      <c r="A1302" s="1"/>
      <c r="D1302" s="1"/>
    </row>
    <row r="1303" spans="1:4">
      <c r="A1303" s="1"/>
      <c r="D1303" s="1"/>
    </row>
    <row r="1304" spans="1:4">
      <c r="A1304" s="1"/>
      <c r="D1304" s="1"/>
    </row>
    <row r="1305" spans="1:4">
      <c r="A1305" s="1"/>
      <c r="D1305" s="1"/>
    </row>
    <row r="1306" spans="1:4">
      <c r="A1306" s="1"/>
      <c r="D1306" s="1"/>
    </row>
    <row r="1307" spans="1:4">
      <c r="A1307" s="1"/>
      <c r="D1307" s="1"/>
    </row>
    <row r="1308" spans="1:4">
      <c r="A1308" s="1"/>
      <c r="D1308" s="1"/>
    </row>
    <row r="1309" spans="1:4">
      <c r="A1309" s="1"/>
      <c r="D1309" s="1"/>
    </row>
    <row r="1310" spans="1:4">
      <c r="A1310" s="1"/>
      <c r="D1310" s="1"/>
    </row>
    <row r="1311" spans="1:4">
      <c r="A1311" s="1"/>
      <c r="D1311" s="1"/>
    </row>
    <row r="1312" spans="1:4">
      <c r="A1312" s="1"/>
      <c r="D1312" s="1"/>
    </row>
    <row r="1313" spans="1:4">
      <c r="A1313" s="1"/>
      <c r="D1313" s="1"/>
    </row>
    <row r="1314" spans="1:4">
      <c r="A1314" s="1"/>
      <c r="D1314" s="1"/>
    </row>
    <row r="1315" spans="1:4">
      <c r="A1315" s="1"/>
      <c r="D1315" s="1"/>
    </row>
    <row r="1316" spans="1:4">
      <c r="A1316" s="1"/>
      <c r="D1316" s="1"/>
    </row>
    <row r="1317" spans="1:4">
      <c r="A1317" s="1"/>
      <c r="D1317" s="1"/>
    </row>
    <row r="1318" spans="1:4">
      <c r="A1318" s="1"/>
      <c r="D1318" s="1"/>
    </row>
    <row r="1319" spans="1:4">
      <c r="A1319" s="1"/>
      <c r="D1319" s="1"/>
    </row>
    <row r="1320" spans="1:4">
      <c r="A1320" s="1"/>
      <c r="D1320" s="1"/>
    </row>
    <row r="1321" spans="1:4">
      <c r="A1321" s="1"/>
      <c r="D1321" s="1"/>
    </row>
    <row r="1322" spans="1:4">
      <c r="A1322" s="1"/>
      <c r="D1322" s="1"/>
    </row>
    <row r="1323" spans="1:4">
      <c r="A1323" s="1"/>
      <c r="D1323" s="1"/>
    </row>
    <row r="1324" spans="1:4">
      <c r="A1324" s="1"/>
      <c r="D1324" s="1"/>
    </row>
    <row r="1325" spans="1:4">
      <c r="A1325" s="1"/>
      <c r="D1325" s="1"/>
    </row>
    <row r="1326" spans="1:4">
      <c r="A1326" s="1"/>
      <c r="D1326" s="1"/>
    </row>
    <row r="1327" spans="1:4">
      <c r="A1327" s="1"/>
      <c r="D1327" s="1"/>
    </row>
    <row r="1328" spans="1:4">
      <c r="A1328" s="1"/>
      <c r="D1328" s="1"/>
    </row>
    <row r="1329" spans="1:4">
      <c r="A1329" s="1"/>
      <c r="D1329" s="1"/>
    </row>
    <row r="1330" spans="1:4">
      <c r="A1330" s="1"/>
      <c r="D1330" s="1"/>
    </row>
    <row r="1331" spans="1:4">
      <c r="A1331" s="1"/>
      <c r="D1331" s="1"/>
    </row>
    <row r="1332" spans="1:4">
      <c r="A1332" s="1"/>
      <c r="D1332" s="1"/>
    </row>
    <row r="1333" spans="1:4">
      <c r="A1333" s="1"/>
      <c r="D1333" s="1"/>
    </row>
    <row r="1334" spans="1:4">
      <c r="A1334" s="1"/>
      <c r="D1334" s="1"/>
    </row>
    <row r="1335" spans="1:4">
      <c r="A1335" s="1"/>
      <c r="D1335" s="1"/>
    </row>
    <row r="1336" spans="1:4">
      <c r="A1336" s="1"/>
      <c r="D1336" s="1"/>
    </row>
    <row r="1337" spans="1:4">
      <c r="A1337" s="1"/>
      <c r="D1337" s="1"/>
    </row>
    <row r="1338" spans="1:4">
      <c r="A1338" s="1"/>
      <c r="D1338" s="1"/>
    </row>
    <row r="1339" spans="1:4">
      <c r="A1339" s="1"/>
      <c r="D1339" s="1"/>
    </row>
    <row r="1340" spans="1:4">
      <c r="A1340" s="1"/>
      <c r="D1340" s="1"/>
    </row>
    <row r="1341" spans="1:4">
      <c r="A1341" s="1"/>
      <c r="D1341" s="1"/>
    </row>
    <row r="1342" spans="1:4">
      <c r="A1342" s="1"/>
      <c r="D1342" s="1"/>
    </row>
    <row r="1343" spans="1:4">
      <c r="A1343" s="1"/>
      <c r="D1343" s="1"/>
    </row>
    <row r="1344" spans="1:4">
      <c r="A1344" s="1"/>
      <c r="D1344" s="1"/>
    </row>
    <row r="1345" spans="1:4">
      <c r="A1345" s="1"/>
      <c r="D1345" s="1"/>
    </row>
    <row r="1346" spans="1:4">
      <c r="A1346" s="1"/>
      <c r="D1346" s="1"/>
    </row>
    <row r="1347" spans="1:4">
      <c r="A1347" s="1"/>
      <c r="D1347" s="1"/>
    </row>
    <row r="1348" spans="1:4">
      <c r="A1348" s="1"/>
      <c r="D1348" s="1"/>
    </row>
    <row r="1349" spans="1:4">
      <c r="A1349" s="1"/>
      <c r="D1349" s="1"/>
    </row>
    <row r="1350" spans="1:4">
      <c r="A1350" s="1"/>
      <c r="D1350" s="1"/>
    </row>
    <row r="1351" spans="1:4">
      <c r="A1351" s="1"/>
      <c r="D1351" s="1"/>
    </row>
    <row r="1352" spans="1:4">
      <c r="A1352" s="1"/>
      <c r="D1352" s="1"/>
    </row>
    <row r="1353" spans="1:4">
      <c r="A1353" s="1"/>
      <c r="D1353" s="1"/>
    </row>
    <row r="1354" spans="1:4">
      <c r="A1354" s="1"/>
      <c r="D1354" s="1"/>
    </row>
    <row r="1355" spans="1:4">
      <c r="A1355" s="1"/>
      <c r="D1355" s="1"/>
    </row>
    <row r="1356" spans="1:4">
      <c r="A1356" s="1"/>
      <c r="D1356" s="1"/>
    </row>
    <row r="1357" spans="1:4">
      <c r="A1357" s="1"/>
      <c r="D1357" s="1"/>
    </row>
    <row r="1358" spans="1:4">
      <c r="A1358" s="1"/>
      <c r="D1358" s="1"/>
    </row>
    <row r="1359" spans="1:4">
      <c r="A1359" s="1"/>
      <c r="D1359" s="1"/>
    </row>
    <row r="1360" spans="1:4">
      <c r="A1360" s="1"/>
      <c r="D1360" s="1"/>
    </row>
    <row r="1361" spans="1:4">
      <c r="A1361" s="1"/>
      <c r="D1361" s="1"/>
    </row>
    <row r="1362" spans="1:4">
      <c r="A1362" s="1"/>
      <c r="D1362" s="1"/>
    </row>
    <row r="1363" spans="1:4">
      <c r="A1363" s="1"/>
      <c r="D1363" s="1"/>
    </row>
    <row r="1364" spans="1:4">
      <c r="A1364" s="1"/>
      <c r="D1364" s="1"/>
    </row>
    <row r="1365" spans="1:4">
      <c r="A1365" s="1"/>
      <c r="D1365" s="1"/>
    </row>
    <row r="1366" spans="1:4">
      <c r="A1366" s="1"/>
      <c r="D1366" s="1"/>
    </row>
    <row r="1367" spans="1:4">
      <c r="A1367" s="1"/>
      <c r="D1367" s="1"/>
    </row>
    <row r="1368" spans="1:4">
      <c r="A1368" s="1"/>
      <c r="D1368" s="1"/>
    </row>
    <row r="1369" spans="1:4">
      <c r="A1369" s="1"/>
      <c r="D1369" s="1"/>
    </row>
    <row r="1370" spans="1:4">
      <c r="A1370" s="1"/>
      <c r="D1370" s="1"/>
    </row>
    <row r="1371" spans="1:4">
      <c r="A1371" s="1"/>
      <c r="D1371" s="1"/>
    </row>
    <row r="1372" spans="1:4">
      <c r="A1372" s="1"/>
      <c r="D1372" s="1"/>
    </row>
    <row r="1373" spans="1:4">
      <c r="A1373" s="1"/>
      <c r="D1373" s="1"/>
    </row>
    <row r="1374" spans="1:4">
      <c r="A1374" s="1"/>
      <c r="D1374" s="1"/>
    </row>
    <row r="1375" spans="1:4">
      <c r="A1375" s="1"/>
      <c r="D1375" s="1"/>
    </row>
    <row r="1376" spans="1:4">
      <c r="A1376" s="1"/>
      <c r="D1376" s="1"/>
    </row>
    <row r="1377" spans="1:4">
      <c r="A1377" s="1"/>
      <c r="D1377" s="1"/>
    </row>
    <row r="1378" spans="1:4">
      <c r="A1378" s="1"/>
      <c r="D1378" s="1"/>
    </row>
    <row r="1379" spans="1:4">
      <c r="A1379" s="1"/>
      <c r="D1379" s="1"/>
    </row>
    <row r="1380" spans="1:4">
      <c r="A1380" s="1"/>
      <c r="D1380" s="1"/>
    </row>
    <row r="1381" spans="1:4">
      <c r="A1381" s="1"/>
      <c r="D1381" s="1"/>
    </row>
    <row r="1382" spans="1:4">
      <c r="A1382" s="1"/>
      <c r="D1382" s="1"/>
    </row>
    <row r="1383" spans="1:4">
      <c r="A1383" s="1"/>
      <c r="D1383" s="1"/>
    </row>
    <row r="1384" spans="1:4">
      <c r="A1384" s="1"/>
      <c r="D1384" s="1"/>
    </row>
    <row r="1385" spans="1:4">
      <c r="A1385" s="1"/>
      <c r="D1385" s="1"/>
    </row>
    <row r="1386" spans="1:4">
      <c r="A1386" s="1"/>
      <c r="D1386" s="1"/>
    </row>
    <row r="1387" spans="1:4">
      <c r="A1387" s="1"/>
      <c r="D1387" s="1"/>
    </row>
    <row r="1388" spans="1:4">
      <c r="A1388" s="1"/>
      <c r="D1388" s="1"/>
    </row>
    <row r="1389" spans="1:4">
      <c r="A1389" s="1"/>
      <c r="D1389" s="1"/>
    </row>
    <row r="1390" spans="1:4">
      <c r="A1390" s="1"/>
      <c r="D1390" s="1"/>
    </row>
    <row r="1391" spans="1:4">
      <c r="A1391" s="1"/>
      <c r="D1391" s="1"/>
    </row>
    <row r="1392" spans="1:4">
      <c r="A1392" s="1"/>
      <c r="D1392" s="1"/>
    </row>
    <row r="1393" spans="1:4">
      <c r="A1393" s="1"/>
      <c r="D1393" s="1"/>
    </row>
    <row r="1394" spans="1:4">
      <c r="A1394" s="1"/>
      <c r="D1394" s="1"/>
    </row>
    <row r="1395" spans="1:4">
      <c r="A1395" s="1"/>
      <c r="D1395" s="1"/>
    </row>
    <row r="1396" spans="1:4">
      <c r="A1396" s="1"/>
      <c r="D1396" s="1"/>
    </row>
    <row r="1397" spans="1:4">
      <c r="A1397" s="1"/>
      <c r="D1397" s="1"/>
    </row>
    <row r="1398" spans="1:4">
      <c r="A1398" s="1"/>
      <c r="D1398" s="1"/>
    </row>
    <row r="1399" spans="1:4">
      <c r="A1399" s="1"/>
      <c r="D1399" s="1"/>
    </row>
    <row r="1400" spans="1:4">
      <c r="A1400" s="1"/>
      <c r="D1400" s="1"/>
    </row>
    <row r="1401" spans="1:4">
      <c r="A1401" s="1"/>
      <c r="D1401" s="1"/>
    </row>
    <row r="1402" spans="1:4">
      <c r="A1402" s="1"/>
      <c r="D1402" s="1"/>
    </row>
    <row r="1403" spans="1:4">
      <c r="A1403" s="1"/>
      <c r="D1403" s="1"/>
    </row>
    <row r="1404" spans="1:4">
      <c r="A1404" s="1"/>
      <c r="D1404" s="1"/>
    </row>
    <row r="1405" spans="1:4">
      <c r="A1405" s="1"/>
      <c r="D1405" s="1"/>
    </row>
    <row r="1406" spans="1:4">
      <c r="A1406" s="1"/>
      <c r="D1406" s="1"/>
    </row>
    <row r="1407" spans="1:4">
      <c r="A1407" s="1"/>
      <c r="D1407" s="1"/>
    </row>
    <row r="1408" spans="1:4">
      <c r="A1408" s="1"/>
      <c r="D1408" s="1"/>
    </row>
    <row r="1409" spans="1:4">
      <c r="A1409" s="1"/>
      <c r="D1409" s="1"/>
    </row>
    <row r="1410" spans="1:4">
      <c r="A1410" s="1"/>
      <c r="D1410" s="1"/>
    </row>
    <row r="1411" spans="1:4">
      <c r="A1411" s="1"/>
      <c r="D1411" s="1"/>
    </row>
    <row r="1412" spans="1:4">
      <c r="A1412" s="1"/>
      <c r="D1412" s="1"/>
    </row>
    <row r="1413" spans="1:4">
      <c r="A1413" s="1"/>
      <c r="D1413" s="1"/>
    </row>
    <row r="1414" spans="1:4">
      <c r="A1414" s="1"/>
      <c r="D1414" s="1"/>
    </row>
    <row r="1415" spans="1:4">
      <c r="A1415" s="1"/>
      <c r="D1415" s="1"/>
    </row>
    <row r="1416" spans="1:4">
      <c r="A1416" s="1"/>
      <c r="D1416" s="1"/>
    </row>
    <row r="1417" spans="1:4">
      <c r="A1417" s="1"/>
      <c r="D1417" s="1"/>
    </row>
    <row r="1418" spans="1:4">
      <c r="A1418" s="1"/>
      <c r="D1418" s="1"/>
    </row>
    <row r="1419" spans="1:4">
      <c r="A1419" s="1"/>
      <c r="D1419" s="1"/>
    </row>
    <row r="1420" spans="1:4">
      <c r="A1420" s="1"/>
      <c r="D1420" s="1"/>
    </row>
    <row r="1421" spans="1:4">
      <c r="A1421" s="1"/>
      <c r="D1421" s="1"/>
    </row>
    <row r="1422" spans="1:4">
      <c r="A1422" s="1"/>
      <c r="D1422" s="1"/>
    </row>
    <row r="1423" spans="1:4">
      <c r="A1423" s="1"/>
      <c r="D1423" s="1"/>
    </row>
    <row r="1424" spans="1:4">
      <c r="A1424" s="1"/>
      <c r="D1424" s="1"/>
    </row>
    <row r="1425" spans="1:4">
      <c r="A1425" s="1"/>
      <c r="D1425" s="1"/>
    </row>
    <row r="1426" spans="1:4">
      <c r="A1426" s="1"/>
      <c r="D1426" s="1"/>
    </row>
    <row r="1427" spans="1:4">
      <c r="A1427" s="1"/>
      <c r="D1427" s="1"/>
    </row>
    <row r="1428" spans="1:4">
      <c r="A1428" s="1"/>
      <c r="D1428" s="1"/>
    </row>
    <row r="1429" spans="1:4">
      <c r="A1429" s="1"/>
      <c r="D1429" s="1"/>
    </row>
    <row r="1430" spans="1:4">
      <c r="A1430" s="1"/>
      <c r="D1430" s="1"/>
    </row>
    <row r="1431" spans="1:4">
      <c r="A1431" s="1"/>
      <c r="D1431" s="1"/>
    </row>
    <row r="1432" spans="1:4">
      <c r="A1432" s="1"/>
      <c r="D1432" s="1"/>
    </row>
    <row r="1433" spans="1:4">
      <c r="A1433" s="1"/>
      <c r="D1433" s="1"/>
    </row>
    <row r="1434" spans="1:4">
      <c r="A1434" s="1"/>
      <c r="D1434" s="1"/>
    </row>
    <row r="1435" spans="1:4">
      <c r="A1435" s="1"/>
      <c r="D1435" s="1"/>
    </row>
    <row r="1436" spans="1:4">
      <c r="A1436" s="1"/>
      <c r="D1436" s="1"/>
    </row>
    <row r="1437" spans="1:4">
      <c r="A1437" s="1"/>
      <c r="D1437" s="1"/>
    </row>
    <row r="1438" spans="1:4">
      <c r="A1438" s="1"/>
      <c r="D1438" s="1"/>
    </row>
    <row r="1439" spans="1:4">
      <c r="A1439" s="1"/>
      <c r="D1439" s="1"/>
    </row>
    <row r="1440" spans="1:4">
      <c r="A1440" s="1"/>
      <c r="D1440" s="1"/>
    </row>
    <row r="1441" spans="1:4">
      <c r="A1441" s="1"/>
      <c r="D1441" s="1"/>
    </row>
    <row r="1442" spans="1:4">
      <c r="A1442" s="1"/>
      <c r="D1442" s="1"/>
    </row>
    <row r="1443" spans="1:4">
      <c r="A1443" s="1"/>
      <c r="D1443" s="1"/>
    </row>
    <row r="1444" spans="1:4">
      <c r="A1444" s="1"/>
      <c r="D1444" s="1"/>
    </row>
    <row r="1445" spans="1:4">
      <c r="A1445" s="1"/>
      <c r="D1445" s="1"/>
    </row>
    <row r="1446" spans="1:4">
      <c r="A1446" s="1"/>
      <c r="D1446" s="1"/>
    </row>
    <row r="1447" spans="1:4">
      <c r="A1447" s="1"/>
      <c r="D1447" s="1"/>
    </row>
    <row r="1448" spans="1:4">
      <c r="A1448" s="1"/>
      <c r="D1448" s="1"/>
    </row>
    <row r="1449" spans="1:4">
      <c r="A1449" s="1"/>
      <c r="D1449" s="1"/>
    </row>
    <row r="1450" spans="1:4">
      <c r="A1450" s="1"/>
      <c r="D1450" s="1"/>
    </row>
    <row r="1451" spans="1:4">
      <c r="A1451" s="1"/>
      <c r="D1451" s="1"/>
    </row>
    <row r="1452" spans="1:4">
      <c r="A1452" s="1"/>
      <c r="D1452" s="1"/>
    </row>
    <row r="1453" spans="1:4">
      <c r="A1453" s="1"/>
      <c r="D1453" s="1"/>
    </row>
    <row r="1454" spans="1:4">
      <c r="A1454" s="1"/>
      <c r="D1454" s="1"/>
    </row>
    <row r="1455" spans="1:4">
      <c r="A1455" s="1"/>
      <c r="D1455" s="1"/>
    </row>
    <row r="1456" spans="1:4">
      <c r="A1456" s="1"/>
      <c r="D1456" s="1"/>
    </row>
    <row r="1457" spans="1:4">
      <c r="A1457" s="1"/>
      <c r="D1457" s="1"/>
    </row>
    <row r="1458" spans="1:4">
      <c r="A1458" s="1"/>
      <c r="D1458" s="1"/>
    </row>
    <row r="1459" spans="1:4">
      <c r="A1459" s="1"/>
      <c r="D1459" s="1"/>
    </row>
    <row r="1460" spans="1:4">
      <c r="A1460" s="1"/>
      <c r="D1460" s="1"/>
    </row>
    <row r="1461" spans="1:4">
      <c r="A1461" s="1"/>
      <c r="D1461" s="1"/>
    </row>
    <row r="1462" spans="1:4">
      <c r="A1462" s="1"/>
      <c r="D1462" s="1"/>
    </row>
    <row r="1463" spans="1:4">
      <c r="A1463" s="1"/>
      <c r="D1463" s="1"/>
    </row>
    <row r="1464" spans="1:4">
      <c r="A1464" s="1"/>
      <c r="D1464" s="1"/>
    </row>
    <row r="1465" spans="1:4">
      <c r="A1465" s="1"/>
      <c r="D1465" s="1"/>
    </row>
    <row r="1466" spans="1:4">
      <c r="A1466" s="1"/>
      <c r="D1466" s="1"/>
    </row>
    <row r="1467" spans="1:4">
      <c r="A1467" s="1"/>
      <c r="D1467" s="1"/>
    </row>
    <row r="1468" spans="1:4">
      <c r="A1468" s="1"/>
      <c r="D1468" s="1"/>
    </row>
    <row r="1469" spans="1:4">
      <c r="A1469" s="1"/>
      <c r="D1469" s="1"/>
    </row>
    <row r="1470" spans="1:4">
      <c r="A1470" s="1"/>
      <c r="D1470" s="1"/>
    </row>
    <row r="1471" spans="1:4">
      <c r="A1471" s="1"/>
      <c r="D1471" s="1"/>
    </row>
    <row r="1472" spans="1:4">
      <c r="A1472" s="1"/>
      <c r="D1472" s="1"/>
    </row>
    <row r="1473" spans="1:4">
      <c r="A1473" s="1"/>
      <c r="D1473" s="1"/>
    </row>
    <row r="1474" spans="1:4">
      <c r="A1474" s="1"/>
      <c r="D1474" s="1"/>
    </row>
    <row r="1475" spans="1:4">
      <c r="A1475" s="1"/>
      <c r="D1475" s="1"/>
    </row>
    <row r="1476" spans="1:4">
      <c r="A1476" s="1"/>
      <c r="D1476" s="1"/>
    </row>
    <row r="1477" spans="1:4">
      <c r="A1477" s="1"/>
      <c r="D1477" s="1"/>
    </row>
    <row r="1478" spans="1:4">
      <c r="A1478" s="1"/>
      <c r="D1478" s="1"/>
    </row>
    <row r="1479" spans="1:4">
      <c r="A1479" s="1"/>
      <c r="D1479" s="1"/>
    </row>
    <row r="1480" spans="1:4">
      <c r="A1480" s="1"/>
      <c r="D1480" s="1"/>
    </row>
    <row r="1481" spans="1:4">
      <c r="A1481" s="1"/>
      <c r="D1481" s="1"/>
    </row>
    <row r="1482" spans="1:4">
      <c r="A1482" s="1"/>
      <c r="D1482" s="1"/>
    </row>
    <row r="1483" spans="1:4">
      <c r="A1483" s="1"/>
      <c r="D1483" s="1"/>
    </row>
    <row r="1484" spans="1:4">
      <c r="A1484" s="1"/>
      <c r="D1484" s="1"/>
    </row>
    <row r="1485" spans="1:4">
      <c r="A1485" s="1"/>
      <c r="D1485" s="1"/>
    </row>
    <row r="1486" spans="1:4">
      <c r="A1486" s="1"/>
      <c r="D1486" s="1"/>
    </row>
    <row r="1487" spans="1:4">
      <c r="A1487" s="1"/>
      <c r="D1487" s="1"/>
    </row>
    <row r="1488" spans="1:4">
      <c r="A1488" s="1"/>
      <c r="D1488" s="1"/>
    </row>
    <row r="1489" spans="1:4">
      <c r="A1489" s="1"/>
      <c r="D1489" s="1"/>
    </row>
    <row r="1490" spans="1:4">
      <c r="A1490" s="1"/>
      <c r="D1490" s="1"/>
    </row>
    <row r="1491" spans="1:4">
      <c r="A1491" s="1"/>
      <c r="D1491" s="1"/>
    </row>
    <row r="1492" spans="1:4">
      <c r="A1492" s="1"/>
      <c r="D1492" s="1"/>
    </row>
    <row r="1493" spans="1:4">
      <c r="A1493" s="1"/>
      <c r="D1493" s="1"/>
    </row>
    <row r="1494" spans="1:4">
      <c r="A1494" s="1"/>
      <c r="D1494" s="1"/>
    </row>
    <row r="1495" spans="1:4">
      <c r="A1495" s="1"/>
      <c r="D1495" s="1"/>
    </row>
    <row r="1496" spans="1:4">
      <c r="A1496" s="1"/>
      <c r="D1496" s="1"/>
    </row>
    <row r="1497" spans="1:4">
      <c r="A1497" s="1"/>
      <c r="D1497" s="1"/>
    </row>
    <row r="1498" spans="1:4">
      <c r="A1498" s="1"/>
      <c r="D1498" s="1"/>
    </row>
    <row r="1499" spans="1:4">
      <c r="A1499" s="1"/>
      <c r="D1499" s="1"/>
    </row>
    <row r="1500" spans="1:4">
      <c r="A1500" s="1"/>
      <c r="D1500" s="1"/>
    </row>
    <row r="1501" spans="1:4">
      <c r="A1501" s="1"/>
      <c r="D1501" s="1"/>
    </row>
    <row r="1502" spans="1:4">
      <c r="A1502" s="1"/>
      <c r="D1502" s="1"/>
    </row>
    <row r="1503" spans="1:4">
      <c r="A1503" s="1"/>
      <c r="D1503" s="1"/>
    </row>
    <row r="1504" spans="1:4">
      <c r="A1504" s="1"/>
      <c r="D1504" s="1"/>
    </row>
    <row r="1505" spans="1:4">
      <c r="A1505" s="1"/>
      <c r="D1505" s="1"/>
    </row>
    <row r="1506" spans="1:4">
      <c r="A1506" s="1"/>
      <c r="D1506" s="1"/>
    </row>
    <row r="1507" spans="1:4">
      <c r="A1507" s="1"/>
      <c r="D1507" s="1"/>
    </row>
    <row r="1508" spans="1:4">
      <c r="A1508" s="1"/>
      <c r="D1508" s="1"/>
    </row>
    <row r="1509" spans="1:4">
      <c r="A1509" s="1"/>
      <c r="D1509" s="1"/>
    </row>
    <row r="1510" spans="1:4">
      <c r="A1510" s="1"/>
      <c r="D1510" s="1"/>
    </row>
    <row r="1511" spans="1:4">
      <c r="A1511" s="1"/>
      <c r="D1511" s="1"/>
    </row>
    <row r="1512" spans="1:4">
      <c r="A1512" s="1"/>
      <c r="D1512" s="1"/>
    </row>
    <row r="1513" spans="1:4">
      <c r="A1513" s="1"/>
      <c r="D1513" s="1"/>
    </row>
    <row r="1514" spans="1:4">
      <c r="A1514" s="1"/>
      <c r="D1514" s="1"/>
    </row>
    <row r="1515" spans="1:4">
      <c r="A1515" s="1"/>
      <c r="D1515" s="1"/>
    </row>
    <row r="1516" spans="1:4">
      <c r="A1516" s="1"/>
      <c r="D1516" s="1"/>
    </row>
    <row r="1517" spans="1:4">
      <c r="A1517" s="1"/>
      <c r="D1517" s="1"/>
    </row>
    <row r="1518" spans="1:4">
      <c r="A1518" s="1"/>
      <c r="D1518" s="1"/>
    </row>
    <row r="1519" spans="1:4">
      <c r="A1519" s="1"/>
      <c r="D1519" s="1"/>
    </row>
    <row r="1520" spans="1:4">
      <c r="A1520" s="1"/>
      <c r="D1520" s="1"/>
    </row>
    <row r="1521" spans="1:4">
      <c r="A1521" s="1"/>
      <c r="D1521" s="1"/>
    </row>
    <row r="1522" spans="1:4">
      <c r="A1522" s="1"/>
      <c r="D1522" s="1"/>
    </row>
    <row r="1523" spans="1:4">
      <c r="A1523" s="1"/>
      <c r="D1523" s="1"/>
    </row>
    <row r="1524" spans="1:4">
      <c r="A1524" s="1"/>
      <c r="D1524" s="1"/>
    </row>
    <row r="1525" spans="1:4">
      <c r="A1525" s="1"/>
      <c r="D1525" s="1"/>
    </row>
    <row r="1526" spans="1:4">
      <c r="A1526" s="1"/>
      <c r="D1526" s="1"/>
    </row>
    <row r="1527" spans="1:4">
      <c r="A1527" s="1"/>
      <c r="D1527" s="1"/>
    </row>
    <row r="1528" spans="1:4">
      <c r="A1528" s="1"/>
      <c r="D1528" s="1"/>
    </row>
    <row r="1529" spans="1:4">
      <c r="A1529" s="1"/>
      <c r="D1529" s="1"/>
    </row>
    <row r="1530" spans="1:4">
      <c r="A1530" s="1"/>
      <c r="D1530" s="1"/>
    </row>
    <row r="1531" spans="1:4">
      <c r="A1531" s="1"/>
      <c r="D1531" s="1"/>
    </row>
    <row r="1532" spans="1:4">
      <c r="A1532" s="1"/>
      <c r="D1532" s="1"/>
    </row>
    <row r="1533" spans="1:4">
      <c r="A1533" s="1"/>
      <c r="D1533" s="1"/>
    </row>
    <row r="1534" spans="1:4">
      <c r="A1534" s="1"/>
      <c r="D1534" s="1"/>
    </row>
    <row r="1535" spans="1:4">
      <c r="A1535" s="1"/>
      <c r="D1535" s="1"/>
    </row>
    <row r="1536" spans="1:4">
      <c r="A1536" s="1"/>
      <c r="D1536" s="1"/>
    </row>
    <row r="1537" spans="1:4">
      <c r="A1537" s="1"/>
      <c r="D1537" s="1"/>
    </row>
    <row r="1538" spans="1:4">
      <c r="A1538" s="1"/>
      <c r="D1538" s="1"/>
    </row>
    <row r="1539" spans="1:4">
      <c r="A1539" s="1"/>
      <c r="D1539" s="1"/>
    </row>
    <row r="1540" spans="1:4">
      <c r="A1540" s="1"/>
      <c r="D1540" s="1"/>
    </row>
    <row r="1541" spans="1:4">
      <c r="A1541" s="1"/>
      <c r="D1541" s="1"/>
    </row>
    <row r="1542" spans="1:4">
      <c r="A1542" s="1"/>
      <c r="D1542" s="1"/>
    </row>
    <row r="1543" spans="1:4">
      <c r="A1543" s="1"/>
      <c r="D1543" s="1"/>
    </row>
    <row r="1544" spans="1:4">
      <c r="A1544" s="1"/>
      <c r="D1544" s="1"/>
    </row>
    <row r="1545" spans="1:4">
      <c r="A1545" s="1"/>
      <c r="D1545" s="1"/>
    </row>
    <row r="1546" spans="1:4">
      <c r="A1546" s="1"/>
      <c r="D1546" s="1"/>
    </row>
    <row r="1547" spans="1:4">
      <c r="A1547" s="1"/>
      <c r="D1547" s="1"/>
    </row>
    <row r="1548" spans="1:4">
      <c r="A1548" s="1"/>
      <c r="D1548" s="1"/>
    </row>
    <row r="1549" spans="1:4">
      <c r="A1549" s="1"/>
      <c r="D1549" s="1"/>
    </row>
    <row r="1550" spans="1:4">
      <c r="A1550" s="1"/>
      <c r="D1550" s="1"/>
    </row>
    <row r="1551" spans="1:4">
      <c r="A1551" s="1"/>
      <c r="D1551" s="1"/>
    </row>
    <row r="1552" spans="1:4">
      <c r="A1552" s="1"/>
      <c r="D1552" s="1"/>
    </row>
    <row r="1553" spans="1:4">
      <c r="A1553" s="1"/>
      <c r="D1553" s="1"/>
    </row>
    <row r="1554" spans="1:4">
      <c r="A1554" s="1"/>
      <c r="D1554" s="1"/>
    </row>
    <row r="1555" spans="1:4">
      <c r="A1555" s="1"/>
      <c r="D1555" s="1"/>
    </row>
    <row r="1556" spans="1:4">
      <c r="A1556" s="1"/>
      <c r="D1556" s="1"/>
    </row>
    <row r="1557" spans="1:4">
      <c r="A1557" s="1"/>
      <c r="D1557" s="1"/>
    </row>
    <row r="1558" spans="1:4">
      <c r="A1558" s="1"/>
      <c r="D1558" s="1"/>
    </row>
    <row r="1559" spans="1:4">
      <c r="A1559" s="1"/>
      <c r="D1559" s="1"/>
    </row>
    <row r="1560" spans="1:4">
      <c r="A1560" s="1"/>
      <c r="D1560" s="1"/>
    </row>
    <row r="1561" spans="1:4">
      <c r="A1561" s="1"/>
      <c r="D1561" s="1"/>
    </row>
    <row r="1562" spans="1:4">
      <c r="A1562" s="1"/>
      <c r="D1562" s="1"/>
    </row>
    <row r="1563" spans="1:4">
      <c r="A1563" s="1"/>
      <c r="D1563" s="1"/>
    </row>
    <row r="1564" spans="1:4">
      <c r="A1564" s="1"/>
      <c r="D1564" s="1"/>
    </row>
    <row r="1565" spans="1:4">
      <c r="A1565" s="1"/>
      <c r="D1565" s="1"/>
    </row>
    <row r="1566" spans="1:4">
      <c r="A1566" s="1"/>
      <c r="D1566" s="1"/>
    </row>
    <row r="1567" spans="1:4">
      <c r="A1567" s="1"/>
      <c r="D1567" s="1"/>
    </row>
    <row r="1568" spans="1:4">
      <c r="A1568" s="1"/>
      <c r="D1568" s="1"/>
    </row>
    <row r="1569" spans="1:4">
      <c r="A1569" s="1"/>
      <c r="D1569" s="1"/>
    </row>
    <row r="1570" spans="1:4">
      <c r="A1570" s="1"/>
      <c r="D1570" s="1"/>
    </row>
    <row r="1571" spans="1:4">
      <c r="A1571" s="1"/>
      <c r="D1571" s="1"/>
    </row>
    <row r="1572" spans="1:4">
      <c r="A1572" s="1"/>
      <c r="D1572" s="1"/>
    </row>
    <row r="1573" spans="1:4">
      <c r="A1573" s="1"/>
      <c r="D1573" s="1"/>
    </row>
    <row r="1574" spans="1:4">
      <c r="A1574" s="1"/>
      <c r="D1574" s="1"/>
    </row>
    <row r="1575" spans="1:4">
      <c r="A1575" s="1"/>
      <c r="D1575" s="1"/>
    </row>
    <row r="1576" spans="1:4">
      <c r="A1576" s="1"/>
      <c r="D1576" s="1"/>
    </row>
    <row r="1577" spans="1:4">
      <c r="A1577" s="1"/>
      <c r="D1577" s="1"/>
    </row>
    <row r="1578" spans="1:4">
      <c r="A1578" s="1"/>
      <c r="D1578" s="1"/>
    </row>
    <row r="1579" spans="1:4">
      <c r="A1579" s="1"/>
      <c r="D1579" s="1"/>
    </row>
    <row r="1580" spans="1:4">
      <c r="A1580" s="1"/>
      <c r="D1580" s="1"/>
    </row>
    <row r="1581" spans="1:4">
      <c r="A1581" s="1"/>
      <c r="D1581" s="1"/>
    </row>
    <row r="1582" spans="1:4">
      <c r="A1582" s="1"/>
      <c r="D1582" s="1"/>
    </row>
    <row r="1583" spans="1:4">
      <c r="A1583" s="1"/>
      <c r="D1583" s="1"/>
    </row>
    <row r="1584" spans="1:4">
      <c r="A1584" s="1"/>
      <c r="D1584" s="1"/>
    </row>
    <row r="1585" spans="1:4">
      <c r="A1585" s="1"/>
      <c r="D1585" s="1"/>
    </row>
    <row r="1586" spans="1:4">
      <c r="A1586" s="1"/>
      <c r="D1586" s="1"/>
    </row>
    <row r="1587" spans="1:4">
      <c r="A1587" s="1"/>
      <c r="D1587" s="1"/>
    </row>
    <row r="1588" spans="1:4">
      <c r="A1588" s="1"/>
      <c r="D1588" s="1"/>
    </row>
    <row r="1589" spans="1:4">
      <c r="A1589" s="1"/>
      <c r="D1589" s="1"/>
    </row>
    <row r="1590" spans="1:4">
      <c r="A1590" s="1"/>
      <c r="D1590" s="1"/>
    </row>
    <row r="1591" spans="1:4">
      <c r="A1591" s="1"/>
      <c r="D1591" s="1"/>
    </row>
    <row r="1592" spans="1:4">
      <c r="A1592" s="1"/>
      <c r="D1592" s="1"/>
    </row>
    <row r="1593" spans="1:4">
      <c r="A1593" s="1"/>
      <c r="D1593" s="1"/>
    </row>
    <row r="1594" spans="1:4">
      <c r="A1594" s="1"/>
      <c r="D1594" s="1"/>
    </row>
    <row r="1595" spans="1:4">
      <c r="A1595" s="1"/>
      <c r="D1595" s="1"/>
    </row>
    <row r="1596" spans="1:4">
      <c r="A1596" s="1"/>
      <c r="D1596" s="1"/>
    </row>
    <row r="1597" spans="1:4">
      <c r="A1597" s="1"/>
      <c r="D1597" s="1"/>
    </row>
    <row r="1598" spans="1:4">
      <c r="A1598" s="1"/>
      <c r="D1598" s="1"/>
    </row>
    <row r="1599" spans="1:4">
      <c r="A1599" s="1"/>
      <c r="D1599" s="1"/>
    </row>
    <row r="1600" spans="1:4">
      <c r="A1600" s="1"/>
      <c r="D1600" s="1"/>
    </row>
    <row r="1601" spans="1:4">
      <c r="A1601" s="1"/>
      <c r="D1601" s="1"/>
    </row>
    <row r="1602" spans="1:4">
      <c r="A1602" s="1"/>
      <c r="D1602" s="1"/>
    </row>
    <row r="1603" spans="1:4">
      <c r="A1603" s="1"/>
      <c r="D1603" s="1"/>
    </row>
    <row r="1604" spans="1:4">
      <c r="A1604" s="1"/>
      <c r="D1604" s="1"/>
    </row>
    <row r="1605" spans="1:4">
      <c r="A1605" s="1"/>
      <c r="D1605" s="1"/>
    </row>
    <row r="1606" spans="1:4">
      <c r="A1606" s="1"/>
      <c r="D1606" s="1"/>
    </row>
    <row r="1607" spans="1:4">
      <c r="A1607" s="1"/>
      <c r="D1607" s="1"/>
    </row>
    <row r="1608" spans="1:4">
      <c r="A1608" s="1"/>
      <c r="D1608" s="1"/>
    </row>
    <row r="1609" spans="1:4">
      <c r="A1609" s="1"/>
      <c r="D1609" s="1"/>
    </row>
    <row r="1610" spans="1:4">
      <c r="A1610" s="1"/>
      <c r="D1610" s="1"/>
    </row>
    <row r="1611" spans="1:4">
      <c r="A1611" s="1"/>
      <c r="D1611" s="1"/>
    </row>
    <row r="1612" spans="1:4">
      <c r="A1612" s="1"/>
      <c r="D1612" s="1"/>
    </row>
    <row r="1613" spans="1:4">
      <c r="A1613" s="1"/>
      <c r="D1613" s="1"/>
    </row>
    <row r="1614" spans="1:4">
      <c r="A1614" s="1"/>
      <c r="D1614" s="1"/>
    </row>
    <row r="1615" spans="1:4">
      <c r="A1615" s="1"/>
      <c r="D1615" s="1"/>
    </row>
    <row r="1616" spans="1:4">
      <c r="A1616" s="1"/>
      <c r="D1616" s="1"/>
    </row>
    <row r="1617" spans="1:4">
      <c r="A1617" s="1"/>
      <c r="D1617" s="1"/>
    </row>
    <row r="1618" spans="1:4">
      <c r="A1618" s="1"/>
      <c r="D1618" s="1"/>
    </row>
    <row r="1619" spans="1:4">
      <c r="A1619" s="1"/>
      <c r="D1619" s="1"/>
    </row>
    <row r="1620" spans="1:4">
      <c r="A1620" s="1"/>
      <c r="D1620" s="1"/>
    </row>
    <row r="1621" spans="1:4">
      <c r="A1621" s="1"/>
      <c r="D1621" s="1"/>
    </row>
    <row r="1622" spans="1:4">
      <c r="A1622" s="1"/>
      <c r="D1622" s="1"/>
    </row>
    <row r="1623" spans="1:4">
      <c r="A1623" s="1"/>
      <c r="D1623" s="1"/>
    </row>
    <row r="1624" spans="1:4">
      <c r="A1624" s="1"/>
      <c r="D1624" s="1"/>
    </row>
    <row r="1625" spans="1:4">
      <c r="A1625" s="1"/>
      <c r="D1625" s="1"/>
    </row>
    <row r="1626" spans="1:4">
      <c r="A1626" s="1"/>
      <c r="D1626" s="1"/>
    </row>
    <row r="1627" spans="1:4">
      <c r="A1627" s="1"/>
      <c r="D1627" s="1"/>
    </row>
    <row r="1628" spans="1:4">
      <c r="A1628" s="1"/>
      <c r="D1628" s="1"/>
    </row>
    <row r="1629" spans="1:4">
      <c r="A1629" s="1"/>
      <c r="D1629" s="1"/>
    </row>
    <row r="1630" spans="1:4">
      <c r="A1630" s="1"/>
      <c r="D1630" s="1"/>
    </row>
    <row r="1631" spans="1:4">
      <c r="A1631" s="1"/>
      <c r="D1631" s="1"/>
    </row>
    <row r="1632" spans="1:4">
      <c r="A1632" s="1"/>
      <c r="D1632" s="1"/>
    </row>
    <row r="1633" spans="1:4">
      <c r="A1633" s="1"/>
      <c r="D1633" s="1"/>
    </row>
    <row r="1634" spans="1:4">
      <c r="A1634" s="1"/>
      <c r="D1634" s="1"/>
    </row>
    <row r="1635" spans="1:4">
      <c r="A1635" s="1"/>
      <c r="D1635" s="1"/>
    </row>
    <row r="1636" spans="1:4">
      <c r="A1636" s="1"/>
      <c r="D1636" s="1"/>
    </row>
    <row r="1637" spans="1:4">
      <c r="A1637" s="1"/>
      <c r="D1637" s="1"/>
    </row>
    <row r="1638" spans="1:4">
      <c r="A1638" s="1"/>
      <c r="D1638" s="1"/>
    </row>
    <row r="1639" spans="1:4">
      <c r="A1639" s="1"/>
      <c r="D1639" s="1"/>
    </row>
    <row r="1640" spans="1:4">
      <c r="A1640" s="1"/>
      <c r="D1640" s="1"/>
    </row>
    <row r="1641" spans="1:4">
      <c r="A1641" s="1"/>
      <c r="D1641" s="1"/>
    </row>
    <row r="1642" spans="1:4">
      <c r="A1642" s="1"/>
      <c r="D1642" s="1"/>
    </row>
    <row r="1643" spans="1:4">
      <c r="A1643" s="1"/>
      <c r="D1643" s="1"/>
    </row>
    <row r="1644" spans="1:4">
      <c r="A1644" s="1"/>
      <c r="D1644" s="1"/>
    </row>
    <row r="1645" spans="1:4">
      <c r="A1645" s="1"/>
      <c r="D1645" s="1"/>
    </row>
    <row r="1646" spans="1:4">
      <c r="A1646" s="1"/>
      <c r="D1646" s="1"/>
    </row>
    <row r="1647" spans="1:4">
      <c r="A1647" s="1"/>
      <c r="D1647" s="1"/>
    </row>
    <row r="1648" spans="1:4">
      <c r="A1648" s="1"/>
      <c r="D1648" s="1"/>
    </row>
    <row r="1649" spans="1:4">
      <c r="A1649" s="1"/>
      <c r="D1649" s="1"/>
    </row>
    <row r="1650" spans="1:4">
      <c r="A1650" s="1"/>
      <c r="D1650" s="1"/>
    </row>
    <row r="1651" spans="1:4">
      <c r="A1651" s="1"/>
      <c r="D1651" s="1"/>
    </row>
    <row r="1652" spans="1:4">
      <c r="A1652" s="1"/>
      <c r="D1652" s="1"/>
    </row>
    <row r="1653" spans="1:4">
      <c r="A1653" s="1"/>
      <c r="D1653" s="1"/>
    </row>
    <row r="1654" spans="1:4">
      <c r="A1654" s="1"/>
      <c r="D1654" s="1"/>
    </row>
    <row r="1655" spans="1:4">
      <c r="A1655" s="1"/>
      <c r="D1655" s="1"/>
    </row>
    <row r="1656" spans="1:4">
      <c r="A1656" s="1"/>
      <c r="D1656" s="1"/>
    </row>
    <row r="1657" spans="1:4">
      <c r="A1657" s="1"/>
      <c r="D1657" s="1"/>
    </row>
    <row r="1658" spans="1:4">
      <c r="A1658" s="1"/>
      <c r="D1658" s="1"/>
    </row>
    <row r="1659" spans="1:4">
      <c r="A1659" s="1"/>
      <c r="D1659" s="1"/>
    </row>
    <row r="1660" spans="1:4">
      <c r="A1660" s="1"/>
      <c r="D1660" s="1"/>
    </row>
    <row r="1661" spans="1:4">
      <c r="A1661" s="1"/>
      <c r="D1661" s="1"/>
    </row>
    <row r="1662" spans="1:4">
      <c r="A1662" s="1"/>
      <c r="D1662" s="1"/>
    </row>
    <row r="1663" spans="1:4">
      <c r="A1663" s="1"/>
      <c r="D1663" s="1"/>
    </row>
    <row r="1664" spans="1:4">
      <c r="A1664" s="1"/>
      <c r="D1664" s="1"/>
    </row>
    <row r="1665" spans="1:4">
      <c r="A1665" s="1"/>
      <c r="D1665" s="1"/>
    </row>
    <row r="1666" spans="1:4">
      <c r="A1666" s="1"/>
      <c r="D1666" s="1"/>
    </row>
    <row r="1667" spans="1:4">
      <c r="A1667" s="1"/>
      <c r="D1667" s="1"/>
    </row>
    <row r="1668" spans="1:4">
      <c r="A1668" s="1"/>
      <c r="D1668" s="1"/>
    </row>
    <row r="1669" spans="1:4">
      <c r="A1669" s="1"/>
      <c r="D1669" s="1"/>
    </row>
    <row r="1670" spans="1:4">
      <c r="A1670" s="1"/>
      <c r="D1670" s="1"/>
    </row>
    <row r="1671" spans="1:4">
      <c r="A1671" s="1"/>
      <c r="D1671" s="1"/>
    </row>
    <row r="1672" spans="1:4">
      <c r="A1672" s="1"/>
      <c r="D1672" s="1"/>
    </row>
    <row r="1673" spans="1:4">
      <c r="A1673" s="1"/>
      <c r="D1673" s="1"/>
    </row>
    <row r="1674" spans="1:4">
      <c r="A1674" s="1"/>
      <c r="D1674" s="1"/>
    </row>
    <row r="1675" spans="1:4">
      <c r="A1675" s="1"/>
      <c r="D1675" s="1"/>
    </row>
    <row r="1676" spans="1:4">
      <c r="A1676" s="1"/>
      <c r="D1676" s="1"/>
    </row>
    <row r="1677" spans="1:4">
      <c r="A1677" s="1"/>
      <c r="D1677" s="1"/>
    </row>
    <row r="1678" spans="1:4">
      <c r="A1678" s="1"/>
      <c r="D1678" s="1"/>
    </row>
    <row r="1679" spans="1:4">
      <c r="A1679" s="1"/>
      <c r="D1679" s="1"/>
    </row>
    <row r="1680" spans="1:4">
      <c r="A1680" s="1"/>
      <c r="D1680" s="1"/>
    </row>
    <row r="1681" spans="1:4">
      <c r="A1681" s="1"/>
      <c r="D1681" s="1"/>
    </row>
    <row r="1682" spans="1:4">
      <c r="A1682" s="1"/>
      <c r="D1682" s="1"/>
    </row>
    <row r="1683" spans="1:4">
      <c r="A1683" s="1"/>
      <c r="D1683" s="1"/>
    </row>
    <row r="1684" spans="1:4">
      <c r="A1684" s="1"/>
      <c r="D1684" s="1"/>
    </row>
    <row r="1685" spans="1:4">
      <c r="A1685" s="1"/>
      <c r="D1685" s="1"/>
    </row>
    <row r="1686" spans="1:4">
      <c r="A1686" s="1"/>
      <c r="D1686" s="1"/>
    </row>
    <row r="1687" spans="1:4">
      <c r="A1687" s="1"/>
      <c r="D1687" s="1"/>
    </row>
    <row r="1688" spans="1:4">
      <c r="A1688" s="1"/>
      <c r="D1688" s="1"/>
    </row>
    <row r="1689" spans="1:4">
      <c r="A1689" s="1"/>
      <c r="D1689" s="1"/>
    </row>
    <row r="1690" spans="1:4">
      <c r="A1690" s="1"/>
      <c r="D1690" s="1"/>
    </row>
    <row r="1691" spans="1:4">
      <c r="A1691" s="1"/>
      <c r="D1691" s="1"/>
    </row>
    <row r="1692" spans="1:4">
      <c r="A1692" s="1"/>
      <c r="D1692" s="1"/>
    </row>
    <row r="1693" spans="1:4">
      <c r="A1693" s="1"/>
      <c r="D1693" s="1"/>
    </row>
    <row r="1694" spans="1:4">
      <c r="A1694" s="1"/>
      <c r="D1694" s="1"/>
    </row>
    <row r="1695" spans="1:4">
      <c r="A1695" s="1"/>
      <c r="D1695" s="1"/>
    </row>
    <row r="1696" spans="1:4">
      <c r="A1696" s="1"/>
      <c r="D1696" s="1"/>
    </row>
    <row r="1697" spans="1:4">
      <c r="A1697" s="1"/>
      <c r="D1697" s="1"/>
    </row>
    <row r="1698" spans="1:4">
      <c r="A1698" s="1"/>
      <c r="D1698" s="1"/>
    </row>
    <row r="1699" spans="1:4">
      <c r="A1699" s="1"/>
      <c r="D1699" s="1"/>
    </row>
    <row r="1700" spans="1:4">
      <c r="A1700" s="1"/>
      <c r="D1700" s="1"/>
    </row>
    <row r="1701" spans="1:4">
      <c r="A1701" s="1"/>
      <c r="D1701" s="1"/>
    </row>
    <row r="1702" spans="1:4">
      <c r="A1702" s="1"/>
      <c r="D1702" s="1"/>
    </row>
    <row r="1703" spans="1:4">
      <c r="A1703" s="1"/>
      <c r="D1703" s="1"/>
    </row>
    <row r="1704" spans="1:4">
      <c r="A1704" s="1"/>
      <c r="D1704" s="1"/>
    </row>
    <row r="1705" spans="1:4">
      <c r="A1705" s="1"/>
      <c r="D1705" s="1"/>
    </row>
    <row r="1706" spans="1:4">
      <c r="A1706" s="1"/>
      <c r="D1706" s="1"/>
    </row>
    <row r="1707" spans="1:4">
      <c r="A1707" s="1"/>
      <c r="D1707" s="1"/>
    </row>
    <row r="1708" spans="1:4">
      <c r="A1708" s="1"/>
      <c r="D1708" s="1"/>
    </row>
    <row r="1709" spans="1:4">
      <c r="A1709" s="1"/>
      <c r="D1709" s="1"/>
    </row>
    <row r="1710" spans="1:4">
      <c r="A1710" s="1"/>
      <c r="D1710" s="1"/>
    </row>
    <row r="1711" spans="1:4">
      <c r="A1711" s="1"/>
      <c r="D1711" s="1"/>
    </row>
    <row r="1712" spans="1:4">
      <c r="A1712" s="1"/>
      <c r="D1712" s="1"/>
    </row>
    <row r="1713" spans="1:4">
      <c r="A1713" s="1"/>
      <c r="D1713" s="1"/>
    </row>
    <row r="1714" spans="1:4">
      <c r="A1714" s="1"/>
      <c r="D1714" s="1"/>
    </row>
    <row r="1715" spans="1:4">
      <c r="A1715" s="1"/>
      <c r="D1715" s="1"/>
    </row>
    <row r="1716" spans="1:4">
      <c r="A1716" s="1"/>
      <c r="D1716" s="1"/>
    </row>
    <row r="1717" spans="1:4">
      <c r="A1717" s="1"/>
      <c r="D1717" s="1"/>
    </row>
    <row r="1718" spans="1:4">
      <c r="A1718" s="1"/>
      <c r="D1718" s="1"/>
    </row>
    <row r="1719" spans="1:4">
      <c r="A1719" s="1"/>
      <c r="D1719" s="1"/>
    </row>
    <row r="1720" spans="1:4">
      <c r="A1720" s="1"/>
      <c r="D1720" s="1"/>
    </row>
    <row r="1721" spans="1:4">
      <c r="A1721" s="1"/>
      <c r="D1721" s="1"/>
    </row>
    <row r="1722" spans="1:4">
      <c r="A1722" s="1"/>
      <c r="D1722" s="1"/>
    </row>
    <row r="1723" spans="1:4">
      <c r="A1723" s="1"/>
      <c r="D1723" s="1"/>
    </row>
    <row r="1724" spans="1:4">
      <c r="A1724" s="1"/>
      <c r="D1724" s="1"/>
    </row>
    <row r="1725" spans="1:4">
      <c r="A1725" s="1"/>
      <c r="D1725" s="1"/>
    </row>
    <row r="1726" spans="1:4">
      <c r="A1726" s="1"/>
      <c r="D1726" s="1"/>
    </row>
    <row r="1727" spans="1:4">
      <c r="A1727" s="1"/>
      <c r="D1727" s="1"/>
    </row>
    <row r="1728" spans="1:4">
      <c r="A1728" s="1"/>
      <c r="D1728" s="1"/>
    </row>
    <row r="1729" spans="1:4">
      <c r="A1729" s="1"/>
      <c r="D1729" s="1"/>
    </row>
    <row r="1730" spans="1:4">
      <c r="A1730" s="1"/>
      <c r="D1730" s="1"/>
    </row>
    <row r="1731" spans="1:4">
      <c r="A1731" s="1"/>
      <c r="D1731" s="1"/>
    </row>
    <row r="1732" spans="1:4">
      <c r="A1732" s="1"/>
      <c r="D1732" s="1"/>
    </row>
    <row r="1733" spans="1:4">
      <c r="A1733" s="1"/>
      <c r="D1733" s="1"/>
    </row>
    <row r="1734" spans="1:4">
      <c r="A1734" s="1"/>
      <c r="D1734" s="1"/>
    </row>
    <row r="1735" spans="1:4">
      <c r="A1735" s="1"/>
      <c r="D1735" s="1"/>
    </row>
    <row r="1736" spans="1:4">
      <c r="A1736" s="1"/>
      <c r="D1736" s="1"/>
    </row>
    <row r="1737" spans="1:4">
      <c r="A1737" s="1"/>
      <c r="D1737" s="1"/>
    </row>
    <row r="1738" spans="1:4">
      <c r="A1738" s="1"/>
      <c r="D1738" s="1"/>
    </row>
    <row r="1739" spans="1:4">
      <c r="A1739" s="1"/>
      <c r="D1739" s="1"/>
    </row>
    <row r="1740" spans="1:4">
      <c r="A1740" s="1"/>
      <c r="D1740" s="1"/>
    </row>
    <row r="1741" spans="1:4">
      <c r="A1741" s="1"/>
      <c r="D1741" s="1"/>
    </row>
    <row r="1742" spans="1:4">
      <c r="A1742" s="1"/>
      <c r="D1742" s="1"/>
    </row>
    <row r="1743" spans="1:4">
      <c r="A1743" s="1"/>
      <c r="D1743" s="1"/>
    </row>
    <row r="1744" spans="1:4">
      <c r="A1744" s="1"/>
      <c r="D1744" s="1"/>
    </row>
    <row r="1745" spans="1:4">
      <c r="A1745" s="1"/>
      <c r="D1745" s="1"/>
    </row>
    <row r="1746" spans="1:4">
      <c r="A1746" s="1"/>
      <c r="D1746" s="1"/>
    </row>
    <row r="1747" spans="1:4">
      <c r="A1747" s="1"/>
      <c r="D1747" s="1"/>
    </row>
    <row r="1748" spans="1:4">
      <c r="A1748" s="1"/>
      <c r="D1748" s="1"/>
    </row>
    <row r="1749" spans="1:4">
      <c r="A1749" s="1"/>
      <c r="D1749" s="1"/>
    </row>
    <row r="1750" spans="1:4">
      <c r="A1750" s="1"/>
      <c r="D1750" s="1"/>
    </row>
    <row r="1751" spans="1:4">
      <c r="A1751" s="1"/>
      <c r="D1751" s="1"/>
    </row>
    <row r="1752" spans="1:4">
      <c r="A1752" s="1"/>
      <c r="D1752" s="1"/>
    </row>
    <row r="1753" spans="1:4">
      <c r="A1753" s="1"/>
      <c r="D1753" s="1"/>
    </row>
    <row r="1754" spans="1:4">
      <c r="A1754" s="1"/>
      <c r="D1754" s="1"/>
    </row>
    <row r="1755" spans="1:4">
      <c r="A1755" s="1"/>
      <c r="D1755" s="1"/>
    </row>
    <row r="1756" spans="1:4">
      <c r="A1756" s="1"/>
      <c r="D1756" s="1"/>
    </row>
    <row r="1757" spans="1:4">
      <c r="A1757" s="1"/>
      <c r="D1757" s="1"/>
    </row>
    <row r="1758" spans="1:4">
      <c r="A1758" s="1"/>
      <c r="D1758" s="1"/>
    </row>
    <row r="1759" spans="1:4">
      <c r="A1759" s="1"/>
      <c r="D1759" s="1"/>
    </row>
    <row r="1760" spans="1:4">
      <c r="A1760" s="1"/>
      <c r="D1760" s="1"/>
    </row>
    <row r="1761" spans="1:4">
      <c r="A1761" s="1"/>
      <c r="D1761" s="1"/>
    </row>
    <row r="1762" spans="1:4">
      <c r="A1762" s="1"/>
      <c r="D1762" s="1"/>
    </row>
    <row r="1763" spans="1:4">
      <c r="A1763" s="1"/>
      <c r="D1763" s="1"/>
    </row>
    <row r="1764" spans="1:4">
      <c r="A1764" s="1"/>
      <c r="D1764" s="1"/>
    </row>
    <row r="1765" spans="1:4">
      <c r="A1765" s="1"/>
      <c r="D1765" s="1"/>
    </row>
    <row r="1766" spans="1:4">
      <c r="A1766" s="1"/>
      <c r="D1766" s="1"/>
    </row>
    <row r="1767" spans="1:4">
      <c r="A1767" s="1"/>
      <c r="D1767" s="1"/>
    </row>
    <row r="1768" spans="1:4">
      <c r="A1768" s="1"/>
      <c r="D1768" s="1"/>
    </row>
    <row r="1769" spans="1:4">
      <c r="A1769" s="1"/>
      <c r="D1769" s="1"/>
    </row>
    <row r="1770" spans="1:4">
      <c r="A1770" s="1"/>
      <c r="D1770" s="1"/>
    </row>
    <row r="1771" spans="1:4">
      <c r="A1771" s="1"/>
      <c r="D1771" s="1"/>
    </row>
    <row r="1772" spans="1:4">
      <c r="A1772" s="1"/>
      <c r="D1772" s="1"/>
    </row>
    <row r="1773" spans="1:4">
      <c r="A1773" s="1"/>
      <c r="D1773" s="1"/>
    </row>
    <row r="1774" spans="1:4">
      <c r="A1774" s="1"/>
      <c r="D1774" s="1"/>
    </row>
    <row r="1775" spans="1:4">
      <c r="A1775" s="1"/>
      <c r="D1775" s="1"/>
    </row>
    <row r="1776" spans="1:4">
      <c r="A1776" s="1"/>
      <c r="D1776" s="1"/>
    </row>
    <row r="1777" spans="1:4">
      <c r="A1777" s="1"/>
      <c r="D1777" s="1"/>
    </row>
    <row r="1778" spans="1:4">
      <c r="A1778" s="1"/>
      <c r="D1778" s="1"/>
    </row>
    <row r="1779" spans="1:4">
      <c r="A1779" s="1"/>
      <c r="D1779" s="1"/>
    </row>
    <row r="1780" spans="1:4">
      <c r="A1780" s="1"/>
      <c r="D1780" s="1"/>
    </row>
    <row r="1781" spans="1:4">
      <c r="A1781" s="1"/>
      <c r="D1781" s="1"/>
    </row>
    <row r="1782" spans="1:4">
      <c r="A1782" s="1"/>
      <c r="D1782" s="1"/>
    </row>
    <row r="1783" spans="1:4">
      <c r="A1783" s="1"/>
      <c r="D1783" s="1"/>
    </row>
    <row r="1784" spans="1:4">
      <c r="A1784" s="1"/>
      <c r="D1784" s="1"/>
    </row>
    <row r="1785" spans="1:4">
      <c r="A1785" s="1"/>
      <c r="D1785" s="1"/>
    </row>
    <row r="1786" spans="1:4">
      <c r="A1786" s="1"/>
      <c r="D1786" s="1"/>
    </row>
    <row r="1787" spans="1:4">
      <c r="A1787" s="1"/>
      <c r="D1787" s="1"/>
    </row>
    <row r="1788" spans="1:4">
      <c r="A1788" s="1"/>
      <c r="D1788" s="1"/>
    </row>
    <row r="1789" spans="1:4">
      <c r="A1789" s="1"/>
      <c r="D1789" s="1"/>
    </row>
    <row r="1790" spans="1:4">
      <c r="A1790" s="1"/>
      <c r="D1790" s="1"/>
    </row>
    <row r="1791" spans="1:4">
      <c r="A1791" s="1"/>
      <c r="D1791" s="1"/>
    </row>
    <row r="1792" spans="1:4">
      <c r="A1792" s="1"/>
      <c r="D1792" s="1"/>
    </row>
    <row r="1793" spans="1:4">
      <c r="A1793" s="1"/>
      <c r="D1793" s="1"/>
    </row>
    <row r="1794" spans="1:4">
      <c r="A1794" s="1"/>
      <c r="D1794" s="1"/>
    </row>
    <row r="1795" spans="1:4">
      <c r="A1795" s="1"/>
      <c r="D1795" s="1"/>
    </row>
    <row r="1796" spans="1:4">
      <c r="A1796" s="1"/>
      <c r="D1796" s="1"/>
    </row>
    <row r="1797" spans="1:4">
      <c r="A1797" s="1"/>
      <c r="D1797" s="1"/>
    </row>
    <row r="1798" spans="1:4">
      <c r="A1798" s="1"/>
      <c r="D1798" s="1"/>
    </row>
    <row r="1799" spans="1:4">
      <c r="A1799" s="1"/>
      <c r="D1799" s="1"/>
    </row>
    <row r="1800" spans="1:4">
      <c r="A1800" s="1"/>
      <c r="D1800" s="1"/>
    </row>
    <row r="1801" spans="1:4">
      <c r="A1801" s="1"/>
      <c r="D1801" s="1"/>
    </row>
    <row r="1802" spans="1:4">
      <c r="A1802" s="1"/>
      <c r="D1802" s="1"/>
    </row>
    <row r="1803" spans="1:4">
      <c r="A1803" s="1"/>
      <c r="D1803" s="1"/>
    </row>
    <row r="1804" spans="1:4">
      <c r="A1804" s="1"/>
      <c r="D1804" s="1"/>
    </row>
    <row r="1805" spans="1:4">
      <c r="A1805" s="1"/>
      <c r="D1805" s="1"/>
    </row>
    <row r="1806" spans="1:4">
      <c r="A1806" s="1"/>
      <c r="D1806" s="1"/>
    </row>
    <row r="1807" spans="1:4">
      <c r="A1807" s="1"/>
      <c r="D1807" s="1"/>
    </row>
    <row r="1808" spans="1:4">
      <c r="A1808" s="1"/>
      <c r="D1808" s="1"/>
    </row>
    <row r="1809" spans="1:4">
      <c r="A1809" s="1"/>
      <c r="D1809" s="1"/>
    </row>
    <row r="1810" spans="1:4">
      <c r="A1810" s="1"/>
      <c r="D1810" s="1"/>
    </row>
    <row r="1811" spans="1:4">
      <c r="A1811" s="1"/>
      <c r="D1811" s="1"/>
    </row>
    <row r="1812" spans="1:4">
      <c r="A1812" s="1"/>
      <c r="D1812" s="1"/>
    </row>
    <row r="1813" spans="1:4">
      <c r="A1813" s="1"/>
      <c r="D1813" s="1"/>
    </row>
    <row r="1814" spans="1:4">
      <c r="A1814" s="1"/>
      <c r="D1814" s="1"/>
    </row>
    <row r="1815" spans="1:4">
      <c r="A1815" s="1"/>
      <c r="D1815" s="1"/>
    </row>
    <row r="1816" spans="1:4">
      <c r="A1816" s="1"/>
      <c r="D1816" s="1"/>
    </row>
    <row r="1817" spans="1:4">
      <c r="A1817" s="1"/>
      <c r="D1817" s="1"/>
    </row>
    <row r="1818" spans="1:4">
      <c r="A1818" s="1"/>
      <c r="D1818" s="1"/>
    </row>
    <row r="1819" spans="1:4">
      <c r="A1819" s="1"/>
      <c r="D1819" s="1"/>
    </row>
    <row r="1820" spans="1:4">
      <c r="A1820" s="1"/>
      <c r="D1820" s="1"/>
    </row>
    <row r="1821" spans="1:4">
      <c r="A1821" s="1"/>
      <c r="D1821" s="1"/>
    </row>
    <row r="1822" spans="1:4">
      <c r="A1822" s="1"/>
      <c r="D1822" s="1"/>
    </row>
    <row r="1823" spans="1:4">
      <c r="A1823" s="1"/>
      <c r="D1823" s="1"/>
    </row>
    <row r="1824" spans="1:4">
      <c r="A1824" s="1"/>
      <c r="D1824" s="1"/>
    </row>
    <row r="1825" spans="1:4">
      <c r="A1825" s="1"/>
      <c r="D1825" s="1"/>
    </row>
    <row r="1826" spans="1:4">
      <c r="A1826" s="1"/>
      <c r="D1826" s="1"/>
    </row>
    <row r="1827" spans="1:4">
      <c r="A1827" s="1"/>
      <c r="D1827" s="1"/>
    </row>
    <row r="1828" spans="1:4">
      <c r="A1828" s="1"/>
      <c r="D1828" s="1"/>
    </row>
    <row r="1829" spans="1:4">
      <c r="A1829" s="1"/>
      <c r="D1829" s="1"/>
    </row>
    <row r="1830" spans="1:4">
      <c r="A1830" s="1"/>
      <c r="D1830" s="1"/>
    </row>
    <row r="1831" spans="1:4">
      <c r="A1831" s="1"/>
      <c r="D1831" s="1"/>
    </row>
    <row r="1832" spans="1:4">
      <c r="A1832" s="1"/>
      <c r="D1832" s="1"/>
    </row>
    <row r="1833" spans="1:4">
      <c r="A1833" s="1"/>
      <c r="D1833" s="1"/>
    </row>
    <row r="1834" spans="1:4">
      <c r="A1834" s="1"/>
      <c r="D1834" s="1"/>
    </row>
    <row r="1835" spans="1:4">
      <c r="A1835" s="1"/>
      <c r="D1835" s="1"/>
    </row>
    <row r="1836" spans="1:4">
      <c r="A1836" s="1"/>
      <c r="D1836" s="1"/>
    </row>
    <row r="1837" spans="1:4">
      <c r="A1837" s="1"/>
      <c r="D1837" s="1"/>
    </row>
    <row r="1838" spans="1:4">
      <c r="A1838" s="1"/>
      <c r="D1838" s="1"/>
    </row>
    <row r="1839" spans="1:4">
      <c r="A1839" s="1"/>
      <c r="D1839" s="1"/>
    </row>
    <row r="1840" spans="1:4">
      <c r="A1840" s="1"/>
      <c r="D1840" s="1"/>
    </row>
    <row r="1841" spans="1:4">
      <c r="A1841" s="1"/>
      <c r="D1841" s="1"/>
    </row>
    <row r="1842" spans="1:4">
      <c r="A1842" s="1"/>
      <c r="D1842" s="1"/>
    </row>
    <row r="1843" spans="1:4">
      <c r="A1843" s="1"/>
      <c r="D1843" s="1"/>
    </row>
    <row r="1844" spans="1:4">
      <c r="A1844" s="1"/>
      <c r="D1844" s="1"/>
    </row>
    <row r="1845" spans="1:4">
      <c r="A1845" s="1"/>
      <c r="D1845" s="1"/>
    </row>
    <row r="1846" spans="1:4">
      <c r="A1846" s="1"/>
      <c r="D1846" s="1"/>
    </row>
    <row r="1847" spans="1:4">
      <c r="A1847" s="1"/>
      <c r="D1847" s="1"/>
    </row>
    <row r="1848" spans="1:4">
      <c r="A1848" s="1"/>
      <c r="D1848" s="1"/>
    </row>
    <row r="1849" spans="1:4">
      <c r="A1849" s="1"/>
      <c r="D1849" s="1"/>
    </row>
    <row r="1850" spans="1:4">
      <c r="A1850" s="1"/>
      <c r="D1850" s="1"/>
    </row>
    <row r="1851" spans="1:4">
      <c r="A1851" s="1"/>
      <c r="D1851" s="1"/>
    </row>
    <row r="1852" spans="1:4">
      <c r="A1852" s="1"/>
      <c r="D1852" s="1"/>
    </row>
    <row r="1853" spans="1:4">
      <c r="A1853" s="1"/>
      <c r="D1853" s="1"/>
    </row>
    <row r="1854" spans="1:4">
      <c r="A1854" s="1"/>
      <c r="D1854" s="1"/>
    </row>
    <row r="1855" spans="1:4">
      <c r="A1855" s="1"/>
      <c r="D1855" s="1"/>
    </row>
    <row r="1856" spans="1:4">
      <c r="A1856" s="1"/>
      <c r="D1856" s="1"/>
    </row>
    <row r="1857" spans="1:4">
      <c r="A1857" s="1"/>
      <c r="D1857" s="1"/>
    </row>
    <row r="1858" spans="1:4">
      <c r="A1858" s="1"/>
      <c r="D1858" s="1"/>
    </row>
    <row r="1859" spans="1:4">
      <c r="A1859" s="1"/>
      <c r="D1859" s="1"/>
    </row>
    <row r="1860" spans="1:4">
      <c r="A1860" s="1"/>
      <c r="D1860" s="1"/>
    </row>
    <row r="1861" spans="1:4">
      <c r="A1861" s="1"/>
      <c r="D1861" s="1"/>
    </row>
    <row r="1862" spans="1:4">
      <c r="A1862" s="1"/>
      <c r="D1862" s="1"/>
    </row>
    <row r="1863" spans="1:4">
      <c r="A1863" s="1"/>
      <c r="D1863" s="1"/>
    </row>
    <row r="1864" spans="1:4">
      <c r="A1864" s="1"/>
      <c r="D1864" s="1"/>
    </row>
    <row r="1865" spans="1:4">
      <c r="A1865" s="1"/>
      <c r="D1865" s="1"/>
    </row>
    <row r="1866" spans="1:4">
      <c r="A1866" s="1"/>
      <c r="D1866" s="1"/>
    </row>
    <row r="1867" spans="1:4">
      <c r="A1867" s="1"/>
      <c r="D1867" s="1"/>
    </row>
    <row r="1868" spans="1:4">
      <c r="A1868" s="1"/>
      <c r="D1868" s="1"/>
    </row>
    <row r="1869" spans="1:4">
      <c r="A1869" s="1"/>
      <c r="D1869" s="1"/>
    </row>
    <row r="1870" spans="1:4">
      <c r="A1870" s="1"/>
      <c r="D1870" s="1"/>
    </row>
    <row r="1871" spans="1:4">
      <c r="A1871" s="1"/>
      <c r="D1871" s="1"/>
    </row>
    <row r="1872" spans="1:4">
      <c r="A1872" s="1"/>
      <c r="D1872" s="1"/>
    </row>
    <row r="1873" spans="1:4">
      <c r="A1873" s="1"/>
      <c r="D1873" s="1"/>
    </row>
    <row r="1874" spans="1:4">
      <c r="A1874" s="1"/>
      <c r="D1874" s="1"/>
    </row>
    <row r="1875" spans="1:4">
      <c r="A1875" s="1"/>
      <c r="D1875" s="1"/>
    </row>
    <row r="1876" spans="1:4">
      <c r="A1876" s="1"/>
      <c r="D1876" s="1"/>
    </row>
    <row r="1877" spans="1:4">
      <c r="A1877" s="1"/>
      <c r="D1877" s="1"/>
    </row>
    <row r="1878" spans="1:4">
      <c r="A1878" s="1"/>
      <c r="D1878" s="1"/>
    </row>
    <row r="1879" spans="1:4">
      <c r="A1879" s="1"/>
      <c r="D1879" s="1"/>
    </row>
    <row r="1880" spans="1:4">
      <c r="A1880" s="1"/>
      <c r="D1880" s="1"/>
    </row>
    <row r="1881" spans="1:4">
      <c r="A1881" s="1"/>
      <c r="D1881" s="1"/>
    </row>
    <row r="1882" spans="1:4">
      <c r="A1882" s="1"/>
      <c r="D1882" s="1"/>
    </row>
    <row r="1883" spans="1:4">
      <c r="A1883" s="1"/>
      <c r="D1883" s="1"/>
    </row>
    <row r="1884" spans="1:4">
      <c r="A1884" s="1"/>
      <c r="D1884" s="1"/>
    </row>
    <row r="1885" spans="1:4">
      <c r="A1885" s="1"/>
      <c r="D1885" s="1"/>
    </row>
    <row r="1886" spans="1:4">
      <c r="A1886" s="1"/>
      <c r="D1886" s="1"/>
    </row>
    <row r="1887" spans="1:4">
      <c r="A1887" s="1"/>
      <c r="D1887" s="1"/>
    </row>
    <row r="1888" spans="1:4">
      <c r="A1888" s="1"/>
      <c r="D1888" s="1"/>
    </row>
    <row r="1889" spans="1:4">
      <c r="A1889" s="1"/>
      <c r="D1889" s="1"/>
    </row>
    <row r="1890" spans="1:4">
      <c r="A1890" s="1"/>
      <c r="D1890" s="1"/>
    </row>
    <row r="1891" spans="1:4">
      <c r="A1891" s="1"/>
      <c r="D1891" s="1"/>
    </row>
    <row r="1892" spans="1:4">
      <c r="A1892" s="1"/>
      <c r="D1892" s="1"/>
    </row>
    <row r="1893" spans="1:4">
      <c r="A1893" s="1"/>
      <c r="D1893" s="1"/>
    </row>
    <row r="1894" spans="1:4">
      <c r="A1894" s="1"/>
      <c r="D1894" s="1"/>
    </row>
    <row r="1895" spans="1:4">
      <c r="A1895" s="1"/>
      <c r="D1895" s="1"/>
    </row>
    <row r="1896" spans="1:4">
      <c r="A1896" s="1"/>
      <c r="D1896" s="1"/>
    </row>
    <row r="1897" spans="1:4">
      <c r="A1897" s="1"/>
      <c r="D1897" s="1"/>
    </row>
    <row r="1898" spans="1:4">
      <c r="A1898" s="1"/>
      <c r="D1898" s="1"/>
    </row>
    <row r="1899" spans="1:4">
      <c r="A1899" s="1"/>
      <c r="D1899" s="1"/>
    </row>
    <row r="1900" spans="1:4">
      <c r="A1900" s="1"/>
      <c r="D1900" s="1"/>
    </row>
    <row r="1901" spans="1:4">
      <c r="A1901" s="1"/>
      <c r="D1901" s="1"/>
    </row>
    <row r="1902" spans="1:4">
      <c r="A1902" s="1"/>
      <c r="D1902" s="1"/>
    </row>
    <row r="1903" spans="1:4">
      <c r="A1903" s="1"/>
      <c r="D1903" s="1"/>
    </row>
    <row r="1904" spans="1:4">
      <c r="A1904" s="1"/>
      <c r="D1904" s="1"/>
    </row>
    <row r="1905" spans="1:4">
      <c r="A1905" s="1"/>
      <c r="D1905" s="1"/>
    </row>
    <row r="1906" spans="1:4">
      <c r="A1906" s="1"/>
      <c r="D1906" s="1"/>
    </row>
    <row r="1907" spans="1:4">
      <c r="A1907" s="1"/>
      <c r="D1907" s="1"/>
    </row>
    <row r="1908" spans="1:4">
      <c r="A1908" s="1"/>
      <c r="D1908" s="1"/>
    </row>
    <row r="1909" spans="1:4">
      <c r="A1909" s="1"/>
      <c r="D1909" s="1"/>
    </row>
    <row r="1910" spans="1:4">
      <c r="A1910" s="1"/>
      <c r="D1910" s="1"/>
    </row>
    <row r="1911" spans="1:4">
      <c r="A1911" s="1"/>
      <c r="D1911" s="1"/>
    </row>
    <row r="1912" spans="1:4">
      <c r="A1912" s="1"/>
      <c r="D1912" s="1"/>
    </row>
    <row r="1913" spans="1:4">
      <c r="A1913" s="1"/>
      <c r="D1913" s="1"/>
    </row>
    <row r="1914" spans="1:4">
      <c r="A1914" s="1"/>
      <c r="D1914" s="1"/>
    </row>
    <row r="1915" spans="1:4">
      <c r="A1915" s="1"/>
      <c r="D1915" s="1"/>
    </row>
    <row r="1916" spans="1:4">
      <c r="A1916" s="1"/>
      <c r="D1916" s="1"/>
    </row>
    <row r="1917" spans="1:4">
      <c r="A1917" s="1"/>
      <c r="D1917" s="1"/>
    </row>
    <row r="1918" spans="1:4">
      <c r="A1918" s="1"/>
      <c r="D1918" s="1"/>
    </row>
    <row r="1919" spans="1:4">
      <c r="A1919" s="1"/>
      <c r="D1919" s="1"/>
    </row>
    <row r="1920" spans="1:4">
      <c r="A1920" s="1"/>
      <c r="D1920" s="1"/>
    </row>
    <row r="1921" spans="1:4">
      <c r="A1921" s="1"/>
      <c r="D1921" s="1"/>
    </row>
    <row r="1922" spans="1:4">
      <c r="A1922" s="1"/>
      <c r="D1922" s="1"/>
    </row>
    <row r="1923" spans="1:4">
      <c r="A1923" s="1"/>
      <c r="D1923" s="1"/>
    </row>
    <row r="1924" spans="1:4">
      <c r="A1924" s="1"/>
      <c r="D1924" s="1"/>
    </row>
    <row r="1925" spans="1:4">
      <c r="A1925" s="1"/>
      <c r="D1925" s="1"/>
    </row>
    <row r="1926" spans="1:4">
      <c r="A1926" s="1"/>
      <c r="D1926" s="1"/>
    </row>
    <row r="1927" spans="1:4">
      <c r="A1927" s="1"/>
      <c r="D1927" s="1"/>
    </row>
    <row r="1928" spans="1:4">
      <c r="A1928" s="1"/>
      <c r="D1928" s="1"/>
    </row>
    <row r="1929" spans="1:4">
      <c r="A1929" s="1"/>
      <c r="D1929" s="1"/>
    </row>
    <row r="1930" spans="1:4">
      <c r="A1930" s="1"/>
      <c r="D1930" s="1"/>
    </row>
    <row r="1931" spans="1:4">
      <c r="A1931" s="1"/>
      <c r="D1931" s="1"/>
    </row>
    <row r="1932" spans="1:4">
      <c r="A1932" s="1"/>
      <c r="D1932" s="1"/>
    </row>
    <row r="1933" spans="1:4">
      <c r="A1933" s="1"/>
      <c r="D1933" s="1"/>
    </row>
    <row r="1934" spans="1:4">
      <c r="A1934" s="1"/>
      <c r="D1934" s="1"/>
    </row>
    <row r="1935" spans="1:4">
      <c r="A1935" s="1"/>
      <c r="D1935" s="1"/>
    </row>
    <row r="1936" spans="1:4">
      <c r="A1936" s="1"/>
      <c r="D1936" s="1"/>
    </row>
    <row r="1937" spans="1:4">
      <c r="A1937" s="1"/>
      <c r="D1937" s="1"/>
    </row>
    <row r="1938" spans="1:4">
      <c r="A1938" s="1"/>
      <c r="D1938" s="1"/>
    </row>
    <row r="1939" spans="1:4">
      <c r="A1939" s="1"/>
      <c r="D1939" s="1"/>
    </row>
    <row r="1940" spans="1:4">
      <c r="A1940" s="1"/>
      <c r="D1940" s="1"/>
    </row>
    <row r="1941" spans="1:4">
      <c r="A1941" s="1"/>
      <c r="D1941" s="1"/>
    </row>
    <row r="1942" spans="1:4">
      <c r="A1942" s="1"/>
      <c r="D1942" s="1"/>
    </row>
    <row r="1943" spans="1:4">
      <c r="A1943" s="1"/>
      <c r="D1943" s="1"/>
    </row>
    <row r="1944" spans="1:4">
      <c r="A1944" s="1"/>
      <c r="D1944" s="1"/>
    </row>
    <row r="1945" spans="1:4">
      <c r="A1945" s="1"/>
      <c r="D1945" s="1"/>
    </row>
    <row r="1946" spans="1:4">
      <c r="A1946" s="1"/>
      <c r="D1946" s="1"/>
    </row>
    <row r="1947" spans="1:4">
      <c r="A1947" s="1"/>
      <c r="D1947" s="1"/>
    </row>
    <row r="1948" spans="1:4">
      <c r="A1948" s="1"/>
      <c r="D1948" s="1"/>
    </row>
    <row r="1949" spans="1:4">
      <c r="A1949" s="1"/>
      <c r="D1949" s="1"/>
    </row>
    <row r="1950" spans="1:4">
      <c r="A1950" s="1"/>
      <c r="D1950" s="1"/>
    </row>
    <row r="1951" spans="1:4">
      <c r="A1951" s="1"/>
      <c r="D1951" s="1"/>
    </row>
    <row r="1952" spans="1:4">
      <c r="A1952" s="1"/>
      <c r="D1952" s="1"/>
    </row>
    <row r="1953" spans="1:4">
      <c r="A1953" s="1"/>
      <c r="D1953" s="1"/>
    </row>
    <row r="1954" spans="1:4">
      <c r="A1954" s="1"/>
      <c r="D1954" s="1"/>
    </row>
    <row r="1955" spans="1:4">
      <c r="A1955" s="1"/>
      <c r="D1955" s="1"/>
    </row>
    <row r="1956" spans="1:4">
      <c r="A1956" s="1"/>
      <c r="D1956" s="1"/>
    </row>
    <row r="1957" spans="1:4">
      <c r="A1957" s="1"/>
      <c r="D1957" s="1"/>
    </row>
    <row r="1958" spans="1:4">
      <c r="A1958" s="1"/>
      <c r="D1958" s="1"/>
    </row>
    <row r="1959" spans="1:4">
      <c r="A1959" s="1"/>
      <c r="D1959" s="1"/>
    </row>
    <row r="1960" spans="1:4">
      <c r="A1960" s="1"/>
      <c r="D1960" s="1"/>
    </row>
    <row r="1961" spans="1:4">
      <c r="A1961" s="1"/>
      <c r="D1961" s="1"/>
    </row>
    <row r="1962" spans="1:4">
      <c r="A1962" s="1"/>
      <c r="D1962" s="1"/>
    </row>
    <row r="1963" spans="1:4">
      <c r="A1963" s="1"/>
      <c r="D1963" s="1"/>
    </row>
    <row r="1964" spans="1:4">
      <c r="A1964" s="1"/>
      <c r="D1964" s="1"/>
    </row>
    <row r="1965" spans="1:4">
      <c r="A1965" s="1"/>
      <c r="D1965" s="1"/>
    </row>
    <row r="1966" spans="1:4">
      <c r="A1966" s="1"/>
      <c r="D1966" s="1"/>
    </row>
    <row r="1967" spans="1:4">
      <c r="A1967" s="1"/>
      <c r="D1967" s="1"/>
    </row>
    <row r="1968" spans="1:4">
      <c r="A1968" s="1"/>
      <c r="D1968" s="1"/>
    </row>
    <row r="1969" spans="1:4">
      <c r="A1969" s="1"/>
      <c r="D1969" s="1"/>
    </row>
    <row r="1970" spans="1:4">
      <c r="A1970" s="1"/>
      <c r="D1970" s="1"/>
    </row>
    <row r="1971" spans="1:4">
      <c r="A1971" s="1"/>
      <c r="D1971" s="1"/>
    </row>
    <row r="1972" spans="1:4">
      <c r="A1972" s="1"/>
      <c r="D1972" s="1"/>
    </row>
    <row r="1973" spans="1:4">
      <c r="A1973" s="1"/>
      <c r="D1973" s="1"/>
    </row>
    <row r="1974" spans="1:4">
      <c r="A1974" s="1"/>
      <c r="D1974" s="1"/>
    </row>
    <row r="1975" spans="1:4">
      <c r="A1975" s="1"/>
      <c r="D1975" s="1"/>
    </row>
    <row r="1976" spans="1:4">
      <c r="A1976" s="1"/>
      <c r="D1976" s="1"/>
    </row>
    <row r="1977" spans="1:4">
      <c r="A1977" s="1"/>
      <c r="D1977" s="1"/>
    </row>
    <row r="1978" spans="1:4">
      <c r="A1978" s="1"/>
      <c r="D1978" s="1"/>
    </row>
    <row r="1979" spans="1:4">
      <c r="A1979" s="1"/>
      <c r="D1979" s="1"/>
    </row>
    <row r="1980" spans="1:4">
      <c r="A1980" s="1"/>
      <c r="D1980" s="1"/>
    </row>
    <row r="1981" spans="1:4">
      <c r="A1981" s="1"/>
      <c r="D1981" s="1"/>
    </row>
    <row r="1982" spans="1:4">
      <c r="A1982" s="1"/>
      <c r="D1982" s="1"/>
    </row>
    <row r="1983" spans="1:4">
      <c r="A1983" s="1"/>
      <c r="D1983" s="1"/>
    </row>
    <row r="1984" spans="1:4">
      <c r="A1984" s="1"/>
      <c r="D1984" s="1"/>
    </row>
    <row r="1985" spans="1:4">
      <c r="A1985" s="1"/>
      <c r="D1985" s="1"/>
    </row>
    <row r="1986" spans="1:4">
      <c r="A1986" s="1"/>
      <c r="D1986" s="1"/>
    </row>
    <row r="1987" spans="1:4">
      <c r="A1987" s="1"/>
      <c r="D1987" s="1"/>
    </row>
    <row r="1988" spans="1:4">
      <c r="A1988" s="1"/>
      <c r="D1988" s="1"/>
    </row>
    <row r="1989" spans="1:4">
      <c r="A1989" s="1"/>
      <c r="D1989" s="1"/>
    </row>
    <row r="1990" spans="1:4">
      <c r="A1990" s="1"/>
      <c r="D1990" s="1"/>
    </row>
    <row r="1991" spans="1:4">
      <c r="A1991" s="1"/>
      <c r="D1991" s="1"/>
    </row>
    <row r="1992" spans="1:4">
      <c r="A1992" s="1"/>
      <c r="D1992" s="1"/>
    </row>
    <row r="1993" spans="1:4">
      <c r="A1993" s="1"/>
      <c r="D1993" s="1"/>
    </row>
    <row r="1994" spans="1:4">
      <c r="A1994" s="1"/>
      <c r="D1994" s="1"/>
    </row>
    <row r="1995" spans="1:4">
      <c r="A1995" s="1"/>
      <c r="D1995" s="1"/>
    </row>
    <row r="1996" spans="1:4">
      <c r="A1996" s="1"/>
      <c r="D1996" s="1"/>
    </row>
    <row r="1997" spans="1:4">
      <c r="A1997" s="1"/>
      <c r="D1997" s="1"/>
    </row>
    <row r="1998" spans="1:4">
      <c r="A1998" s="1"/>
      <c r="D1998" s="1"/>
    </row>
    <row r="1999" spans="1:4">
      <c r="A1999" s="1"/>
      <c r="D1999" s="1"/>
    </row>
    <row r="2000" spans="1:4">
      <c r="A2000" s="1"/>
      <c r="D2000" s="1"/>
    </row>
    <row r="2001" spans="1:4">
      <c r="A2001" s="1"/>
      <c r="D2001" s="1"/>
    </row>
    <row r="2002" spans="1:4">
      <c r="A2002" s="1"/>
      <c r="D2002" s="1"/>
    </row>
    <row r="2003" spans="1:4">
      <c r="A2003" s="1"/>
      <c r="D2003" s="1"/>
    </row>
    <row r="2004" spans="1:4">
      <c r="A2004" s="1"/>
      <c r="D2004" s="1"/>
    </row>
    <row r="2005" spans="1:4">
      <c r="A2005" s="1"/>
      <c r="D2005" s="1"/>
    </row>
    <row r="2006" spans="1:4">
      <c r="A2006" s="1"/>
      <c r="D2006" s="1"/>
    </row>
    <row r="2007" spans="1:4">
      <c r="A2007" s="1"/>
      <c r="D2007" s="1"/>
    </row>
    <row r="2008" spans="1:4">
      <c r="A2008" s="1"/>
      <c r="D2008" s="1"/>
    </row>
    <row r="2009" spans="1:4">
      <c r="A2009" s="1"/>
      <c r="D2009" s="1"/>
    </row>
    <row r="2010" spans="1:4">
      <c r="A2010" s="1"/>
      <c r="D2010" s="1"/>
    </row>
    <row r="2011" spans="1:4">
      <c r="A2011" s="1"/>
      <c r="D2011" s="1"/>
    </row>
    <row r="2012" spans="1:4">
      <c r="A2012" s="1"/>
      <c r="D2012" s="1"/>
    </row>
    <row r="2013" spans="1:4">
      <c r="A2013" s="1"/>
      <c r="D2013" s="1"/>
    </row>
    <row r="2014" spans="1:4">
      <c r="A2014" s="1"/>
      <c r="D2014" s="1"/>
    </row>
    <row r="2015" spans="1:4">
      <c r="A2015" s="1"/>
      <c r="D2015" s="1"/>
    </row>
    <row r="2016" spans="1:4">
      <c r="A2016" s="1"/>
      <c r="D2016" s="1"/>
    </row>
    <row r="2017" spans="1:4">
      <c r="A2017" s="1"/>
      <c r="D2017" s="1"/>
    </row>
    <row r="2018" spans="1:4">
      <c r="A2018" s="1"/>
      <c r="D2018" s="1"/>
    </row>
    <row r="2019" spans="1:4">
      <c r="A2019" s="1"/>
      <c r="D2019" s="1"/>
    </row>
    <row r="2020" spans="1:4">
      <c r="A2020" s="1"/>
      <c r="D2020" s="1"/>
    </row>
    <row r="2021" spans="1:4">
      <c r="A2021" s="1"/>
      <c r="D2021" s="1"/>
    </row>
    <row r="2022" spans="1:4">
      <c r="A2022" s="1"/>
      <c r="D2022" s="1"/>
    </row>
    <row r="2023" spans="1:4">
      <c r="A2023" s="1"/>
      <c r="D2023" s="1"/>
    </row>
    <row r="2024" spans="1:4">
      <c r="A2024" s="1"/>
      <c r="D2024" s="1"/>
    </row>
    <row r="2025" spans="1:4">
      <c r="A2025" s="1"/>
      <c r="D2025" s="1"/>
    </row>
    <row r="2026" spans="1:4">
      <c r="A2026" s="1"/>
      <c r="D2026" s="1"/>
    </row>
    <row r="2027" spans="1:4">
      <c r="A2027" s="1"/>
      <c r="D2027" s="1"/>
    </row>
    <row r="2028" spans="1:4">
      <c r="A2028" s="1"/>
      <c r="D2028" s="1"/>
    </row>
    <row r="2029" spans="1:4">
      <c r="A2029" s="1"/>
      <c r="D2029" s="1"/>
    </row>
    <row r="2030" spans="1:4">
      <c r="A2030" s="1"/>
      <c r="D2030" s="1"/>
    </row>
    <row r="2031" spans="1:4">
      <c r="A2031" s="1"/>
      <c r="D2031" s="1"/>
    </row>
    <row r="2032" spans="1:4">
      <c r="A2032" s="1"/>
      <c r="D2032" s="1"/>
    </row>
    <row r="2033" spans="1:4">
      <c r="A2033" s="1"/>
      <c r="D2033" s="1"/>
    </row>
    <row r="2034" spans="1:4">
      <c r="A2034" s="1"/>
      <c r="D2034" s="1"/>
    </row>
    <row r="2035" spans="1:4">
      <c r="A2035" s="1"/>
      <c r="D2035" s="1"/>
    </row>
    <row r="2036" spans="1:4">
      <c r="A2036" s="1"/>
      <c r="D2036" s="1"/>
    </row>
    <row r="2037" spans="1:4">
      <c r="A2037" s="1"/>
      <c r="D2037" s="1"/>
    </row>
    <row r="2038" spans="1:4">
      <c r="A2038" s="1"/>
      <c r="D2038" s="1"/>
    </row>
    <row r="2039" spans="1:4">
      <c r="A2039" s="1"/>
      <c r="D2039" s="1"/>
    </row>
    <row r="2040" spans="1:4">
      <c r="A2040" s="1"/>
      <c r="D2040" s="1"/>
    </row>
    <row r="2041" spans="1:4">
      <c r="A2041" s="1"/>
      <c r="D2041" s="1"/>
    </row>
    <row r="2042" spans="1:4">
      <c r="A2042" s="1"/>
      <c r="D2042" s="1"/>
    </row>
    <row r="2043" spans="1:4">
      <c r="A2043" s="1"/>
      <c r="D2043" s="1"/>
    </row>
    <row r="2044" spans="1:4">
      <c r="A2044" s="1"/>
      <c r="D2044" s="1"/>
    </row>
    <row r="2045" spans="1:4">
      <c r="A2045" s="1"/>
      <c r="D2045" s="1"/>
    </row>
    <row r="2046" spans="1:4">
      <c r="A2046" s="1"/>
      <c r="D2046" s="1"/>
    </row>
    <row r="2047" spans="1:4">
      <c r="A2047" s="1"/>
      <c r="D2047" s="1"/>
    </row>
    <row r="2048" spans="1:4">
      <c r="A2048" s="1"/>
      <c r="D2048" s="1"/>
    </row>
    <row r="2049" spans="1:4">
      <c r="A2049" s="1"/>
      <c r="D2049" s="1"/>
    </row>
    <row r="2050" spans="1:4">
      <c r="A2050" s="1"/>
      <c r="D2050" s="1"/>
    </row>
    <row r="2051" spans="1:4">
      <c r="A2051" s="1"/>
      <c r="D2051" s="1"/>
    </row>
    <row r="2052" spans="1:4">
      <c r="A2052" s="1"/>
      <c r="D2052" s="1"/>
    </row>
    <row r="2053" spans="1:4">
      <c r="A2053" s="1"/>
      <c r="D2053" s="1"/>
    </row>
    <row r="2054" spans="1:4">
      <c r="A2054" s="1"/>
      <c r="D2054" s="1"/>
    </row>
    <row r="2055" spans="1:4">
      <c r="A2055" s="1"/>
      <c r="D2055" s="1"/>
    </row>
    <row r="2056" spans="1:4">
      <c r="A2056" s="1"/>
      <c r="D2056" s="1"/>
    </row>
    <row r="2057" spans="1:4">
      <c r="A2057" s="1"/>
      <c r="D2057" s="1"/>
    </row>
    <row r="2058" spans="1:4">
      <c r="A2058" s="1"/>
      <c r="D2058" s="1"/>
    </row>
    <row r="2059" spans="1:4">
      <c r="A2059" s="1"/>
      <c r="D2059" s="1"/>
    </row>
    <row r="2060" spans="1:4">
      <c r="A2060" s="1"/>
      <c r="D2060" s="1"/>
    </row>
    <row r="2061" spans="1:4">
      <c r="A2061" s="1"/>
      <c r="D2061" s="1"/>
    </row>
    <row r="2062" spans="1:4">
      <c r="A2062" s="1"/>
      <c r="D2062" s="1"/>
    </row>
    <row r="2063" spans="1:4">
      <c r="A2063" s="1"/>
      <c r="D2063" s="1"/>
    </row>
    <row r="2064" spans="1:4">
      <c r="A2064" s="1"/>
      <c r="D2064" s="1"/>
    </row>
    <row r="2065" spans="1:4">
      <c r="A2065" s="1"/>
      <c r="D2065" s="1"/>
    </row>
    <row r="2066" spans="1:4">
      <c r="A2066" s="1"/>
      <c r="D2066" s="1"/>
    </row>
    <row r="2067" spans="1:4">
      <c r="A2067" s="1"/>
      <c r="D2067" s="1"/>
    </row>
    <row r="2068" spans="1:4">
      <c r="A2068" s="1"/>
      <c r="D2068" s="1"/>
    </row>
    <row r="2069" spans="1:4">
      <c r="A2069" s="1"/>
      <c r="D2069" s="1"/>
    </row>
    <row r="2070" spans="1:4">
      <c r="A2070" s="1"/>
      <c r="D2070" s="1"/>
    </row>
    <row r="2071" spans="1:4">
      <c r="A2071" s="1"/>
      <c r="D2071" s="1"/>
    </row>
    <row r="2072" spans="1:4">
      <c r="A2072" s="1"/>
      <c r="D2072" s="1"/>
    </row>
    <row r="2073" spans="1:4">
      <c r="A2073" s="1"/>
      <c r="D2073" s="1"/>
    </row>
    <row r="2074" spans="1:4">
      <c r="A2074" s="1"/>
      <c r="D2074" s="1"/>
    </row>
    <row r="2075" spans="1:4">
      <c r="A2075" s="1"/>
      <c r="D2075" s="1"/>
    </row>
    <row r="2076" spans="1:4">
      <c r="A2076" s="1"/>
      <c r="D2076" s="1"/>
    </row>
    <row r="2077" spans="1:4">
      <c r="A2077" s="1"/>
      <c r="D2077" s="1"/>
    </row>
    <row r="2078" spans="1:4">
      <c r="A2078" s="1"/>
      <c r="D2078" s="1"/>
    </row>
    <row r="2079" spans="1:4">
      <c r="A2079" s="1"/>
      <c r="D2079" s="1"/>
    </row>
    <row r="2080" spans="1:4">
      <c r="A2080" s="1"/>
      <c r="D2080" s="1"/>
    </row>
    <row r="2081" spans="1:4">
      <c r="A2081" s="1"/>
      <c r="D2081" s="1"/>
    </row>
    <row r="2082" spans="1:4">
      <c r="A2082" s="1"/>
      <c r="D2082" s="1"/>
    </row>
    <row r="2083" spans="1:4">
      <c r="A2083" s="1"/>
      <c r="D2083" s="1"/>
    </row>
    <row r="2084" spans="1:4">
      <c r="A2084" s="1"/>
      <c r="D2084" s="1"/>
    </row>
    <row r="2085" spans="1:4">
      <c r="A2085" s="1"/>
      <c r="D2085" s="1"/>
    </row>
    <row r="2086" spans="1:4">
      <c r="A2086" s="1"/>
      <c r="D2086" s="1"/>
    </row>
    <row r="2087" spans="1:4">
      <c r="A2087" s="1"/>
      <c r="D2087" s="1"/>
    </row>
    <row r="2088" spans="1:4">
      <c r="A2088" s="1"/>
      <c r="D2088" s="1"/>
    </row>
    <row r="2089" spans="1:4">
      <c r="A2089" s="1"/>
      <c r="D2089" s="1"/>
    </row>
    <row r="2090" spans="1:4">
      <c r="A2090" s="1"/>
      <c r="D2090" s="1"/>
    </row>
    <row r="2091" spans="1:4">
      <c r="A2091" s="1"/>
      <c r="D2091" s="1"/>
    </row>
    <row r="2092" spans="1:4">
      <c r="A2092" s="1"/>
      <c r="D2092" s="1"/>
    </row>
    <row r="2093" spans="1:4">
      <c r="A2093" s="1"/>
      <c r="D2093" s="1"/>
    </row>
    <row r="2094" spans="1:4">
      <c r="A2094" s="1"/>
      <c r="D2094" s="1"/>
    </row>
    <row r="2095" spans="1:4">
      <c r="A2095" s="1"/>
      <c r="D2095" s="1"/>
    </row>
    <row r="2096" spans="1:4">
      <c r="A2096" s="1"/>
      <c r="D2096" s="1"/>
    </row>
    <row r="2097" spans="1:4">
      <c r="A2097" s="1"/>
      <c r="D2097" s="1"/>
    </row>
    <row r="2098" spans="1:4">
      <c r="A2098" s="1"/>
      <c r="D2098" s="1"/>
    </row>
    <row r="2099" spans="1:4">
      <c r="A2099" s="1"/>
      <c r="D2099" s="1"/>
    </row>
    <row r="2100" spans="1:4">
      <c r="A2100" s="1"/>
      <c r="D2100" s="1"/>
    </row>
    <row r="2101" spans="1:4">
      <c r="A2101" s="1"/>
      <c r="D2101" s="1"/>
    </row>
    <row r="2102" spans="1:4">
      <c r="A2102" s="1"/>
      <c r="D2102" s="1"/>
    </row>
    <row r="2103" spans="1:4">
      <c r="A2103" s="1"/>
      <c r="D2103" s="1"/>
    </row>
    <row r="2104" spans="1:4">
      <c r="A2104" s="1"/>
      <c r="D2104" s="1"/>
    </row>
    <row r="2105" spans="1:4">
      <c r="A2105" s="1"/>
      <c r="D2105" s="1"/>
    </row>
    <row r="2106" spans="1:4">
      <c r="A2106" s="1"/>
      <c r="D2106" s="1"/>
    </row>
    <row r="2107" spans="1:4">
      <c r="A2107" s="1"/>
      <c r="D2107" s="1"/>
    </row>
    <row r="2108" spans="1:4">
      <c r="A2108" s="1"/>
      <c r="D2108" s="1"/>
    </row>
    <row r="2109" spans="1:4">
      <c r="A2109" s="1"/>
      <c r="D2109" s="1"/>
    </row>
    <row r="2110" spans="1:4">
      <c r="A2110" s="1"/>
      <c r="D2110" s="1"/>
    </row>
    <row r="2111" spans="1:4">
      <c r="A2111" s="1"/>
      <c r="D2111" s="1"/>
    </row>
    <row r="2112" spans="1:4">
      <c r="A2112" s="1"/>
      <c r="D2112" s="1"/>
    </row>
    <row r="2113" spans="1:4">
      <c r="A2113" s="1"/>
      <c r="D2113" s="1"/>
    </row>
    <row r="2114" spans="1:4">
      <c r="A2114" s="1"/>
      <c r="D2114" s="1"/>
    </row>
    <row r="2115" spans="1:4">
      <c r="A2115" s="1"/>
      <c r="D2115" s="1"/>
    </row>
    <row r="2116" spans="1:4">
      <c r="A2116" s="1"/>
      <c r="D2116" s="1"/>
    </row>
    <row r="2117" spans="1:4">
      <c r="A2117" s="1"/>
      <c r="D2117" s="1"/>
    </row>
    <row r="2118" spans="1:4">
      <c r="A2118" s="1"/>
      <c r="D2118" s="1"/>
    </row>
    <row r="2119" spans="1:4">
      <c r="A2119" s="1"/>
      <c r="D2119" s="1"/>
    </row>
    <row r="2120" spans="1:4">
      <c r="A2120" s="1"/>
      <c r="D2120" s="1"/>
    </row>
    <row r="2121" spans="1:4">
      <c r="A2121" s="1"/>
      <c r="D2121" s="1"/>
    </row>
    <row r="2122" spans="1:4">
      <c r="A2122" s="1"/>
      <c r="D2122" s="1"/>
    </row>
    <row r="2123" spans="1:4">
      <c r="A2123" s="1"/>
      <c r="D2123" s="1"/>
    </row>
    <row r="2124" spans="1:4">
      <c r="A2124" s="1"/>
      <c r="D2124" s="1"/>
    </row>
    <row r="2125" spans="1:4">
      <c r="A2125" s="1"/>
      <c r="D2125" s="1"/>
    </row>
    <row r="2126" spans="1:4">
      <c r="A2126" s="1"/>
      <c r="D2126" s="1"/>
    </row>
    <row r="2127" spans="1:4">
      <c r="A2127" s="1"/>
      <c r="D2127" s="1"/>
    </row>
    <row r="2128" spans="1:4">
      <c r="A2128" s="1"/>
      <c r="D2128" s="1"/>
    </row>
    <row r="2129" spans="1:4">
      <c r="A2129" s="1"/>
      <c r="D2129" s="1"/>
    </row>
    <row r="2130" spans="1:4">
      <c r="A2130" s="1"/>
      <c r="D2130" s="1"/>
    </row>
    <row r="2131" spans="1:4">
      <c r="A2131" s="1"/>
      <c r="D2131" s="1"/>
    </row>
    <row r="2132" spans="1:4">
      <c r="A2132" s="1"/>
      <c r="D2132" s="1"/>
    </row>
    <row r="2133" spans="1:4">
      <c r="A2133" s="1"/>
      <c r="D2133" s="1"/>
    </row>
    <row r="2134" spans="1:4">
      <c r="A2134" s="1"/>
      <c r="D2134" s="1"/>
    </row>
    <row r="2135" spans="1:4">
      <c r="A2135" s="1"/>
      <c r="D2135" s="1"/>
    </row>
    <row r="2136" spans="1:4">
      <c r="A2136" s="1"/>
      <c r="D2136" s="1"/>
    </row>
    <row r="2137" spans="1:4">
      <c r="A2137" s="1"/>
      <c r="D2137" s="1"/>
    </row>
    <row r="2138" spans="1:4">
      <c r="A2138" s="1"/>
      <c r="D2138" s="1"/>
    </row>
    <row r="2139" spans="1:4">
      <c r="A2139" s="1"/>
      <c r="D2139" s="1"/>
    </row>
    <row r="2140" spans="1:4">
      <c r="A2140" s="1"/>
      <c r="D2140" s="1"/>
    </row>
    <row r="2141" spans="1:4">
      <c r="A2141" s="1"/>
      <c r="D2141" s="1"/>
    </row>
    <row r="2142" spans="1:4">
      <c r="A2142" s="1"/>
      <c r="D2142" s="1"/>
    </row>
    <row r="2143" spans="1:4">
      <c r="A2143" s="1"/>
      <c r="D2143" s="1"/>
    </row>
    <row r="2144" spans="1:4">
      <c r="A2144" s="1"/>
      <c r="D2144" s="1"/>
    </row>
    <row r="2145" spans="1:4">
      <c r="A2145" s="1"/>
      <c r="D2145" s="1"/>
    </row>
    <row r="2146" spans="1:4">
      <c r="A2146" s="1"/>
      <c r="D2146" s="1"/>
    </row>
    <row r="2147" spans="1:4">
      <c r="A2147" s="1"/>
      <c r="D2147" s="1"/>
    </row>
    <row r="2148" spans="1:4">
      <c r="A2148" s="1"/>
      <c r="D2148" s="1"/>
    </row>
    <row r="2149" spans="1:4">
      <c r="A2149" s="1"/>
      <c r="D2149" s="1"/>
    </row>
    <row r="2150" spans="1:4">
      <c r="A2150" s="1"/>
      <c r="D2150" s="1"/>
    </row>
    <row r="2151" spans="1:4">
      <c r="A2151" s="1"/>
      <c r="D2151" s="1"/>
    </row>
    <row r="2152" spans="1:4">
      <c r="A2152" s="1"/>
      <c r="D2152" s="1"/>
    </row>
    <row r="2153" spans="1:4">
      <c r="A2153" s="1"/>
      <c r="D2153" s="1"/>
    </row>
    <row r="2154" spans="1:4">
      <c r="A2154" s="1"/>
      <c r="D2154" s="1"/>
    </row>
    <row r="2155" spans="1:4">
      <c r="A2155" s="1"/>
      <c r="D2155" s="1"/>
    </row>
    <row r="2156" spans="1:4">
      <c r="A2156" s="1"/>
      <c r="D2156" s="1"/>
    </row>
    <row r="2157" spans="1:4">
      <c r="A2157" s="1"/>
      <c r="D2157" s="1"/>
    </row>
    <row r="2158" spans="1:4">
      <c r="A2158" s="1"/>
      <c r="D2158" s="1"/>
    </row>
    <row r="2159" spans="1:4">
      <c r="A2159" s="1"/>
      <c r="D2159" s="1"/>
    </row>
    <row r="2160" spans="1:4">
      <c r="A2160" s="1"/>
      <c r="D2160" s="1"/>
    </row>
    <row r="2161" spans="1:4">
      <c r="A2161" s="1"/>
      <c r="D2161" s="1"/>
    </row>
    <row r="2162" spans="1:4">
      <c r="A2162" s="1"/>
      <c r="D2162" s="1"/>
    </row>
    <row r="2163" spans="1:4">
      <c r="A2163" s="1"/>
      <c r="D2163" s="1"/>
    </row>
    <row r="2164" spans="1:4">
      <c r="A2164" s="1"/>
      <c r="D2164" s="1"/>
    </row>
    <row r="2165" spans="1:4">
      <c r="A2165" s="1"/>
      <c r="D2165" s="1"/>
    </row>
    <row r="2166" spans="1:4">
      <c r="A2166" s="1"/>
      <c r="D2166" s="1"/>
    </row>
    <row r="2167" spans="1:4">
      <c r="A2167" s="1"/>
      <c r="D2167" s="1"/>
    </row>
    <row r="2168" spans="1:4">
      <c r="A2168" s="1"/>
      <c r="D2168" s="1"/>
    </row>
    <row r="2169" spans="1:4">
      <c r="A2169" s="1"/>
      <c r="D2169" s="1"/>
    </row>
    <row r="2170" spans="1:4">
      <c r="A2170" s="1"/>
      <c r="D2170" s="1"/>
    </row>
    <row r="2171" spans="1:4">
      <c r="A2171" s="1"/>
      <c r="D2171" s="1"/>
    </row>
    <row r="2172" spans="1:4">
      <c r="A2172" s="1"/>
      <c r="D2172" s="1"/>
    </row>
    <row r="2173" spans="1:4">
      <c r="A2173" s="1"/>
      <c r="D2173" s="1"/>
    </row>
    <row r="2174" spans="1:4">
      <c r="A2174" s="1"/>
      <c r="D2174" s="1"/>
    </row>
    <row r="2175" spans="1:4">
      <c r="A2175" s="1"/>
      <c r="D2175" s="1"/>
    </row>
    <row r="2176" spans="1:4">
      <c r="A2176" s="1"/>
      <c r="D2176" s="1"/>
    </row>
    <row r="2177" spans="1:4">
      <c r="A2177" s="1"/>
      <c r="D2177" s="1"/>
    </row>
    <row r="2178" spans="1:4">
      <c r="A2178" s="1"/>
      <c r="D2178" s="1"/>
    </row>
    <row r="2179" spans="1:4">
      <c r="A2179" s="1"/>
      <c r="D2179" s="1"/>
    </row>
    <row r="2180" spans="1:4">
      <c r="A2180" s="1"/>
      <c r="D2180" s="1"/>
    </row>
    <row r="2181" spans="1:4">
      <c r="A2181" s="1"/>
      <c r="D2181" s="1"/>
    </row>
    <row r="2182" spans="1:4">
      <c r="A2182" s="1"/>
      <c r="D2182" s="1"/>
    </row>
    <row r="2183" spans="1:4">
      <c r="A2183" s="1"/>
      <c r="D2183" s="1"/>
    </row>
    <row r="2184" spans="1:4">
      <c r="A2184" s="1"/>
      <c r="D2184" s="1"/>
    </row>
    <row r="2185" spans="1:4">
      <c r="A2185" s="1"/>
      <c r="D2185" s="1"/>
    </row>
    <row r="2186" spans="1:4">
      <c r="A2186" s="1"/>
      <c r="D2186" s="1"/>
    </row>
    <row r="2187" spans="1:4">
      <c r="A2187" s="1"/>
      <c r="D2187" s="1"/>
    </row>
    <row r="2188" spans="1:4">
      <c r="A2188" s="1"/>
      <c r="D2188" s="1"/>
    </row>
    <row r="2189" spans="1:4">
      <c r="A2189" s="1"/>
      <c r="D2189" s="1"/>
    </row>
    <row r="2190" spans="1:4">
      <c r="A2190" s="1"/>
      <c r="D2190" s="1"/>
    </row>
    <row r="2191" spans="1:4">
      <c r="A2191" s="1"/>
      <c r="D2191" s="1"/>
    </row>
    <row r="2192" spans="1:4">
      <c r="A2192" s="1"/>
      <c r="D2192" s="1"/>
    </row>
    <row r="2193" spans="1:4">
      <c r="A2193" s="1"/>
      <c r="D2193" s="1"/>
    </row>
    <row r="2194" spans="1:4">
      <c r="A2194" s="1"/>
      <c r="D2194" s="1"/>
    </row>
    <row r="2195" spans="1:4">
      <c r="A2195" s="1"/>
      <c r="D2195" s="1"/>
    </row>
    <row r="2196" spans="1:4">
      <c r="A2196" s="1"/>
      <c r="D2196" s="1"/>
    </row>
    <row r="2197" spans="1:4">
      <c r="A2197" s="1"/>
      <c r="D2197" s="1"/>
    </row>
    <row r="2198" spans="1:4">
      <c r="A2198" s="1"/>
      <c r="D2198" s="1"/>
    </row>
    <row r="2199" spans="1:4">
      <c r="A2199" s="1"/>
      <c r="D2199" s="1"/>
    </row>
    <row r="2200" spans="1:4">
      <c r="A2200" s="1"/>
      <c r="D2200" s="1"/>
    </row>
    <row r="2201" spans="1:4">
      <c r="A2201" s="1"/>
      <c r="D2201" s="1"/>
    </row>
    <row r="2202" spans="1:4">
      <c r="A2202" s="1"/>
      <c r="D2202" s="1"/>
    </row>
    <row r="2203" spans="1:4">
      <c r="A2203" s="1"/>
      <c r="D2203" s="1"/>
    </row>
    <row r="2204" spans="1:4">
      <c r="A2204" s="1"/>
      <c r="D2204" s="1"/>
    </row>
    <row r="2205" spans="1:4">
      <c r="A2205" s="1"/>
      <c r="D2205" s="1"/>
    </row>
    <row r="2206" spans="1:4">
      <c r="A2206" s="1"/>
      <c r="D2206" s="1"/>
    </row>
    <row r="2207" spans="1:4">
      <c r="A2207" s="1"/>
      <c r="D2207" s="1"/>
    </row>
    <row r="2208" spans="1:4">
      <c r="A2208" s="1"/>
      <c r="D2208" s="1"/>
    </row>
    <row r="2209" spans="1:4">
      <c r="A2209" s="1"/>
      <c r="D2209" s="1"/>
    </row>
    <row r="2210" spans="1:4">
      <c r="A2210" s="1"/>
      <c r="D2210" s="1"/>
    </row>
    <row r="2211" spans="1:4">
      <c r="A2211" s="1"/>
      <c r="D2211" s="1"/>
    </row>
    <row r="2212" spans="1:4">
      <c r="A2212" s="1"/>
      <c r="D2212" s="1"/>
    </row>
    <row r="2213" spans="1:4">
      <c r="A2213" s="1"/>
      <c r="D2213" s="1"/>
    </row>
    <row r="2214" spans="1:4">
      <c r="A2214" s="1"/>
      <c r="D2214" s="1"/>
    </row>
    <row r="2215" spans="1:4">
      <c r="A2215" s="1"/>
      <c r="D2215" s="1"/>
    </row>
    <row r="2216" spans="1:4">
      <c r="A2216" s="1"/>
      <c r="D2216" s="1"/>
    </row>
    <row r="2217" spans="1:4">
      <c r="A2217" s="1"/>
      <c r="D2217" s="1"/>
    </row>
    <row r="2218" spans="1:4">
      <c r="A2218" s="1"/>
      <c r="D2218" s="1"/>
    </row>
    <row r="2219" spans="1:4">
      <c r="A2219" s="1"/>
      <c r="D2219" s="1"/>
    </row>
    <row r="2220" spans="1:4">
      <c r="A2220" s="1"/>
      <c r="D2220" s="1"/>
    </row>
    <row r="2221" spans="1:4">
      <c r="A2221" s="1"/>
      <c r="D2221" s="1"/>
    </row>
    <row r="2222" spans="1:4">
      <c r="A2222" s="1"/>
      <c r="D2222" s="1"/>
    </row>
    <row r="2223" spans="1:4">
      <c r="A2223" s="1"/>
      <c r="D2223" s="1"/>
    </row>
    <row r="2224" spans="1:4">
      <c r="A2224" s="1"/>
      <c r="D2224" s="1"/>
    </row>
    <row r="2225" spans="1:4">
      <c r="A2225" s="1"/>
      <c r="D2225" s="1"/>
    </row>
    <row r="2226" spans="1:4">
      <c r="A2226" s="1"/>
      <c r="D2226" s="1"/>
    </row>
    <row r="2227" spans="1:4">
      <c r="A2227" s="1"/>
      <c r="D2227" s="1"/>
    </row>
    <row r="2228" spans="1:4">
      <c r="A2228" s="1"/>
      <c r="D2228" s="1"/>
    </row>
    <row r="2229" spans="1:4">
      <c r="A2229" s="1"/>
      <c r="D2229" s="1"/>
    </row>
    <row r="2230" spans="1:4">
      <c r="A2230" s="1"/>
      <c r="D2230" s="1"/>
    </row>
    <row r="2231" spans="1:4">
      <c r="A2231" s="1"/>
      <c r="D2231" s="1"/>
    </row>
    <row r="2232" spans="1:4">
      <c r="A2232" s="1"/>
      <c r="D2232" s="1"/>
    </row>
    <row r="2233" spans="1:4">
      <c r="A2233" s="1"/>
      <c r="D2233" s="1"/>
    </row>
    <row r="2234" spans="1:4">
      <c r="A2234" s="1"/>
      <c r="D2234" s="1"/>
    </row>
    <row r="2235" spans="1:4">
      <c r="A2235" s="1"/>
      <c r="D2235" s="1"/>
    </row>
    <row r="2236" spans="1:4">
      <c r="A2236" s="1"/>
      <c r="D2236" s="1"/>
    </row>
    <row r="2237" spans="1:4">
      <c r="A2237" s="1"/>
      <c r="D2237" s="1"/>
    </row>
    <row r="2238" spans="1:4">
      <c r="A2238" s="1"/>
      <c r="D2238" s="1"/>
    </row>
    <row r="2239" spans="1:4">
      <c r="A2239" s="1"/>
      <c r="D2239" s="1"/>
    </row>
    <row r="2240" spans="1:4">
      <c r="A2240" s="1"/>
      <c r="D2240" s="1"/>
    </row>
    <row r="2241" spans="1:4">
      <c r="A2241" s="1"/>
      <c r="D2241" s="1"/>
    </row>
    <row r="2242" spans="1:4">
      <c r="A2242" s="1"/>
      <c r="D2242" s="1"/>
    </row>
    <row r="2243" spans="1:4">
      <c r="A2243" s="1"/>
      <c r="D2243" s="1"/>
    </row>
    <row r="2244" spans="1:4">
      <c r="A2244" s="1"/>
      <c r="D2244" s="1"/>
    </row>
    <row r="2245" spans="1:4">
      <c r="A2245" s="1"/>
      <c r="D2245" s="1"/>
    </row>
    <row r="2246" spans="1:4">
      <c r="A2246" s="1"/>
      <c r="D2246" s="1"/>
    </row>
    <row r="2247" spans="1:4">
      <c r="A2247" s="1"/>
      <c r="D2247" s="1"/>
    </row>
    <row r="2248" spans="1:4">
      <c r="A2248" s="1"/>
      <c r="D2248" s="1"/>
    </row>
    <row r="2249" spans="1:4">
      <c r="A2249" s="1"/>
      <c r="D2249" s="1"/>
    </row>
    <row r="2250" spans="1:4">
      <c r="A2250" s="1"/>
      <c r="D2250" s="1"/>
    </row>
    <row r="2251" spans="1:4">
      <c r="A2251" s="1"/>
      <c r="D2251" s="1"/>
    </row>
    <row r="2252" spans="1:4">
      <c r="A2252" s="1"/>
      <c r="D2252" s="1"/>
    </row>
    <row r="2253" spans="1:4">
      <c r="A2253" s="1"/>
      <c r="D2253" s="1"/>
    </row>
    <row r="2254" spans="1:4">
      <c r="A2254" s="1"/>
      <c r="D2254" s="1"/>
    </row>
    <row r="2255" spans="1:4">
      <c r="A2255" s="1"/>
      <c r="D2255" s="1"/>
    </row>
    <row r="2256" spans="1:4">
      <c r="A2256" s="1"/>
      <c r="D2256" s="1"/>
    </row>
    <row r="2257" spans="1:4">
      <c r="A2257" s="1"/>
      <c r="D2257" s="1"/>
    </row>
    <row r="2258" spans="1:4">
      <c r="A2258" s="1"/>
      <c r="D2258" s="1"/>
    </row>
    <row r="2259" spans="1:4">
      <c r="A2259" s="1"/>
      <c r="D2259" s="1"/>
    </row>
    <row r="2260" spans="1:4">
      <c r="A2260" s="1"/>
      <c r="D2260" s="1"/>
    </row>
    <row r="2261" spans="1:4">
      <c r="A2261" s="1"/>
      <c r="D2261" s="1"/>
    </row>
    <row r="2262" spans="1:4">
      <c r="A2262" s="1"/>
      <c r="D2262" s="1"/>
    </row>
    <row r="2263" spans="1:4">
      <c r="A2263" s="1"/>
      <c r="D2263" s="1"/>
    </row>
    <row r="2264" spans="1:4">
      <c r="A2264" s="1"/>
      <c r="D2264" s="1"/>
    </row>
    <row r="2265" spans="1:4">
      <c r="A2265" s="1"/>
      <c r="D2265" s="1"/>
    </row>
    <row r="2266" spans="1:4">
      <c r="A2266" s="1"/>
      <c r="D2266" s="1"/>
    </row>
    <row r="2267" spans="1:4">
      <c r="A2267" s="1"/>
      <c r="D2267" s="1"/>
    </row>
    <row r="2268" spans="1:4">
      <c r="A2268" s="1"/>
      <c r="D2268" s="1"/>
    </row>
    <row r="2269" spans="1:4">
      <c r="A2269" s="1"/>
      <c r="D2269" s="1"/>
    </row>
    <row r="2270" spans="1:4">
      <c r="A2270" s="1"/>
      <c r="D2270" s="1"/>
    </row>
    <row r="2271" spans="1:4">
      <c r="A2271" s="1"/>
      <c r="D2271" s="1"/>
    </row>
    <row r="2272" spans="1:4">
      <c r="A2272" s="1"/>
      <c r="D2272" s="1"/>
    </row>
    <row r="2273" spans="1:4">
      <c r="A2273" s="1"/>
      <c r="D2273" s="1"/>
    </row>
    <row r="2274" spans="1:4">
      <c r="A2274" s="1"/>
      <c r="D2274" s="1"/>
    </row>
    <row r="2275" spans="1:4">
      <c r="A2275" s="1"/>
      <c r="D2275" s="1"/>
    </row>
    <row r="2276" spans="1:4">
      <c r="A2276" s="1"/>
      <c r="D2276" s="1"/>
    </row>
    <row r="2277" spans="1:4">
      <c r="A2277" s="1"/>
      <c r="D2277" s="1"/>
    </row>
    <row r="2278" spans="1:4">
      <c r="A2278" s="1"/>
      <c r="D2278" s="1"/>
    </row>
    <row r="2279" spans="1:4">
      <c r="A2279" s="1"/>
      <c r="D2279" s="1"/>
    </row>
    <row r="2280" spans="1:4">
      <c r="A2280" s="1"/>
      <c r="D2280" s="1"/>
    </row>
    <row r="2281" spans="1:4">
      <c r="A2281" s="1"/>
      <c r="D2281" s="1"/>
    </row>
    <row r="2282" spans="1:4">
      <c r="A2282" s="1"/>
      <c r="D2282" s="1"/>
    </row>
    <row r="2283" spans="1:4">
      <c r="A2283" s="1"/>
      <c r="D2283" s="1"/>
    </row>
    <row r="2284" spans="1:4">
      <c r="A2284" s="1"/>
      <c r="D2284" s="1"/>
    </row>
    <row r="2285" spans="1:4">
      <c r="A2285" s="1"/>
      <c r="D2285" s="1"/>
    </row>
    <row r="2286" spans="1:4">
      <c r="A2286" s="1"/>
      <c r="D2286" s="1"/>
    </row>
    <row r="2287" spans="1:4">
      <c r="A2287" s="1"/>
      <c r="D2287" s="1"/>
    </row>
    <row r="2288" spans="1:4">
      <c r="A2288" s="1"/>
      <c r="D2288" s="1"/>
    </row>
    <row r="2289" spans="1:4">
      <c r="A2289" s="1"/>
      <c r="D2289" s="1"/>
    </row>
    <row r="2290" spans="1:4">
      <c r="A2290" s="1"/>
      <c r="D2290" s="1"/>
    </row>
    <row r="2291" spans="1:4">
      <c r="A2291" s="1"/>
      <c r="D2291" s="1"/>
    </row>
    <row r="2292" spans="1:4">
      <c r="A2292" s="1"/>
      <c r="D2292" s="1"/>
    </row>
    <row r="2293" spans="1:4">
      <c r="A2293" s="1"/>
      <c r="D2293" s="1"/>
    </row>
    <row r="2294" spans="1:4">
      <c r="A2294" s="1"/>
      <c r="D2294" s="1"/>
    </row>
    <row r="2295" spans="1:4">
      <c r="A2295" s="1"/>
      <c r="D2295" s="1"/>
    </row>
    <row r="2296" spans="1:4">
      <c r="A2296" s="1"/>
      <c r="D2296" s="1"/>
    </row>
    <row r="2297" spans="1:4">
      <c r="A2297" s="1"/>
      <c r="D2297" s="1"/>
    </row>
    <row r="2298" spans="1:4">
      <c r="A2298" s="1"/>
      <c r="D2298" s="1"/>
    </row>
    <row r="2299" spans="1:4">
      <c r="A2299" s="1"/>
      <c r="D2299" s="1"/>
    </row>
    <row r="2300" spans="1:4">
      <c r="A2300" s="1"/>
      <c r="D2300" s="1"/>
    </row>
    <row r="2301" spans="1:4">
      <c r="A2301" s="1"/>
      <c r="D2301" s="1"/>
    </row>
    <row r="2302" spans="1:4">
      <c r="A2302" s="1"/>
      <c r="D2302" s="1"/>
    </row>
    <row r="2303" spans="1:4">
      <c r="A2303" s="1"/>
      <c r="D2303" s="1"/>
    </row>
    <row r="2304" spans="1:4">
      <c r="A2304" s="1"/>
      <c r="D2304" s="1"/>
    </row>
    <row r="2305" spans="1:4">
      <c r="A2305" s="1"/>
      <c r="D2305" s="1"/>
    </row>
    <row r="2306" spans="1:4">
      <c r="A2306" s="1"/>
      <c r="D2306" s="1"/>
    </row>
    <row r="2307" spans="1:4">
      <c r="A2307" s="1"/>
      <c r="D2307" s="1"/>
    </row>
    <row r="2308" spans="1:4">
      <c r="A2308" s="1"/>
      <c r="D2308" s="1"/>
    </row>
    <row r="2309" spans="1:4">
      <c r="A2309" s="1"/>
      <c r="D2309" s="1"/>
    </row>
    <row r="2310" spans="1:4">
      <c r="A2310" s="1"/>
      <c r="D2310" s="1"/>
    </row>
    <row r="2311" spans="1:4">
      <c r="A2311" s="1"/>
      <c r="D2311" s="1"/>
    </row>
    <row r="2312" spans="1:4">
      <c r="A2312" s="1"/>
      <c r="D2312" s="1"/>
    </row>
    <row r="2313" spans="1:4">
      <c r="A2313" s="1"/>
      <c r="D2313" s="1"/>
    </row>
    <row r="2314" spans="1:4">
      <c r="A2314" s="1"/>
      <c r="D2314" s="1"/>
    </row>
    <row r="2315" spans="1:4">
      <c r="A2315" s="1"/>
      <c r="D2315" s="1"/>
    </row>
    <row r="2316" spans="1:4">
      <c r="A2316" s="1"/>
      <c r="D2316" s="1"/>
    </row>
    <row r="2317" spans="1:4">
      <c r="A2317" s="1"/>
      <c r="D2317" s="1"/>
    </row>
    <row r="2318" spans="1:4">
      <c r="A2318" s="1"/>
      <c r="D2318" s="1"/>
    </row>
    <row r="2319" spans="1:4">
      <c r="A2319" s="1"/>
      <c r="D2319" s="1"/>
    </row>
    <row r="2320" spans="1:4">
      <c r="A2320" s="1"/>
      <c r="D2320" s="1"/>
    </row>
    <row r="2321" spans="1:4">
      <c r="A2321" s="1"/>
      <c r="D2321" s="1"/>
    </row>
    <row r="2322" spans="1:4">
      <c r="A2322" s="1"/>
      <c r="D2322" s="1"/>
    </row>
    <row r="2323" spans="1:4">
      <c r="A2323" s="1"/>
      <c r="D2323" s="1"/>
    </row>
    <row r="2324" spans="1:4">
      <c r="A2324" s="1"/>
      <c r="D2324" s="1"/>
    </row>
    <row r="2325" spans="1:4">
      <c r="A2325" s="1"/>
      <c r="D2325" s="1"/>
    </row>
    <row r="2326" spans="1:4">
      <c r="A2326" s="1"/>
      <c r="D2326" s="1"/>
    </row>
    <row r="2327" spans="1:4">
      <c r="A2327" s="1"/>
      <c r="D2327" s="1"/>
    </row>
    <row r="2328" spans="1:4">
      <c r="A2328" s="1"/>
      <c r="D2328" s="1"/>
    </row>
    <row r="2329" spans="1:4">
      <c r="A2329" s="1"/>
      <c r="D2329" s="1"/>
    </row>
    <row r="2330" spans="1:4">
      <c r="A2330" s="1"/>
      <c r="D2330" s="1"/>
    </row>
    <row r="2331" spans="1:4">
      <c r="A2331" s="1"/>
      <c r="D2331" s="1"/>
    </row>
    <row r="2332" spans="1:4">
      <c r="A2332" s="1"/>
      <c r="D2332" s="1"/>
    </row>
    <row r="2333" spans="1:4">
      <c r="A2333" s="1"/>
      <c r="D2333" s="1"/>
    </row>
    <row r="2334" spans="1:4">
      <c r="A2334" s="1"/>
      <c r="D2334" s="1"/>
    </row>
    <row r="2335" spans="1:4">
      <c r="A2335" s="1"/>
      <c r="D2335" s="1"/>
    </row>
    <row r="2336" spans="1:4">
      <c r="A2336" s="1"/>
      <c r="D2336" s="1"/>
    </row>
    <row r="2337" spans="1:4">
      <c r="A2337" s="1"/>
      <c r="D2337" s="1"/>
    </row>
    <row r="2338" spans="1:4">
      <c r="A2338" s="1"/>
      <c r="D2338" s="1"/>
    </row>
    <row r="2339" spans="1:4">
      <c r="A2339" s="1"/>
      <c r="D2339" s="1"/>
    </row>
    <row r="2340" spans="1:4">
      <c r="A2340" s="1"/>
      <c r="D2340" s="1"/>
    </row>
    <row r="2341" spans="1:4">
      <c r="A2341" s="1"/>
      <c r="D2341" s="1"/>
    </row>
    <row r="2342" spans="1:4">
      <c r="A2342" s="1"/>
      <c r="D2342" s="1"/>
    </row>
    <row r="2343" spans="1:4">
      <c r="A2343" s="1"/>
      <c r="D2343" s="1"/>
    </row>
    <row r="2344" spans="1:4">
      <c r="A2344" s="1"/>
      <c r="D2344" s="1"/>
    </row>
    <row r="2345" spans="1:4">
      <c r="A2345" s="1"/>
      <c r="D2345" s="1"/>
    </row>
    <row r="2346" spans="1:4">
      <c r="A2346" s="1"/>
      <c r="D2346" s="1"/>
    </row>
    <row r="2347" spans="1:4">
      <c r="A2347" s="1"/>
      <c r="D2347" s="1"/>
    </row>
    <row r="2348" spans="1:4">
      <c r="A2348" s="1"/>
      <c r="D2348" s="1"/>
    </row>
    <row r="2349" spans="1:4">
      <c r="A2349" s="1"/>
      <c r="D2349" s="1"/>
    </row>
    <row r="2350" spans="1:4">
      <c r="A2350" s="1"/>
      <c r="D2350" s="1"/>
    </row>
    <row r="2351" spans="1:4">
      <c r="A2351" s="1"/>
      <c r="D2351" s="1"/>
    </row>
    <row r="2352" spans="1:4">
      <c r="A2352" s="1"/>
      <c r="D2352" s="1"/>
    </row>
    <row r="2353" spans="1:4">
      <c r="A2353" s="1"/>
      <c r="D2353" s="1"/>
    </row>
    <row r="2354" spans="1:4">
      <c r="A2354" s="1"/>
      <c r="D2354" s="1"/>
    </row>
    <row r="2355" spans="1:4">
      <c r="A2355" s="1"/>
      <c r="D2355" s="1"/>
    </row>
    <row r="2356" spans="1:4">
      <c r="A2356" s="1"/>
      <c r="D2356" s="1"/>
    </row>
    <row r="2357" spans="1:4">
      <c r="A2357" s="1"/>
      <c r="D2357" s="1"/>
    </row>
    <row r="2358" spans="1:4">
      <c r="A2358" s="1"/>
      <c r="D2358" s="1"/>
    </row>
    <row r="2359" spans="1:4">
      <c r="A2359" s="1"/>
      <c r="D2359" s="1"/>
    </row>
    <row r="2360" spans="1:4">
      <c r="A2360" s="1"/>
      <c r="D2360" s="1"/>
    </row>
    <row r="2361" spans="1:4">
      <c r="A2361" s="1"/>
      <c r="D2361" s="1"/>
    </row>
    <row r="2362" spans="1:4">
      <c r="A2362" s="1"/>
      <c r="D2362" s="1"/>
    </row>
    <row r="2363" spans="1:4">
      <c r="A2363" s="1"/>
      <c r="D2363" s="1"/>
    </row>
    <row r="2364" spans="1:4">
      <c r="A2364" s="1"/>
      <c r="D2364" s="1"/>
    </row>
    <row r="2365" spans="1:4">
      <c r="A2365" s="1"/>
      <c r="D2365" s="1"/>
    </row>
    <row r="2366" spans="1:4">
      <c r="A2366" s="1"/>
      <c r="D2366" s="1"/>
    </row>
    <row r="2367" spans="1:4">
      <c r="A2367" s="1"/>
      <c r="D2367" s="1"/>
    </row>
    <row r="2368" spans="1:4">
      <c r="A2368" s="1"/>
      <c r="D2368" s="1"/>
    </row>
    <row r="2369" spans="1:4">
      <c r="A2369" s="1"/>
      <c r="D2369" s="1"/>
    </row>
    <row r="2370" spans="1:4">
      <c r="A2370" s="1"/>
      <c r="D2370" s="1"/>
    </row>
    <row r="2371" spans="1:4">
      <c r="A2371" s="1"/>
      <c r="D2371" s="1"/>
    </row>
    <row r="2372" spans="1:4">
      <c r="A2372" s="1"/>
      <c r="D2372" s="1"/>
    </row>
    <row r="2373" spans="1:4">
      <c r="A2373" s="1"/>
      <c r="D2373" s="1"/>
    </row>
    <row r="2374" spans="1:4">
      <c r="A2374" s="1"/>
      <c r="D2374" s="1"/>
    </row>
    <row r="2375" spans="1:4">
      <c r="A2375" s="1"/>
      <c r="D2375" s="1"/>
    </row>
    <row r="2376" spans="1:4">
      <c r="A2376" s="1"/>
      <c r="D2376" s="1"/>
    </row>
    <row r="2377" spans="1:4">
      <c r="A2377" s="1"/>
      <c r="D2377" s="1"/>
    </row>
    <row r="2378" spans="1:4">
      <c r="A2378" s="1"/>
      <c r="D2378" s="1"/>
    </row>
    <row r="2379" spans="1:4">
      <c r="A2379" s="1"/>
      <c r="D2379" s="1"/>
    </row>
    <row r="2380" spans="1:4">
      <c r="A2380" s="1"/>
      <c r="D2380" s="1"/>
    </row>
    <row r="2381" spans="1:4">
      <c r="A2381" s="1"/>
      <c r="D2381" s="1"/>
    </row>
    <row r="2382" spans="1:4">
      <c r="A2382" s="1"/>
      <c r="D2382" s="1"/>
    </row>
    <row r="2383" spans="1:4">
      <c r="A2383" s="1"/>
      <c r="D2383" s="1"/>
    </row>
    <row r="2384" spans="1:4">
      <c r="A2384" s="1"/>
      <c r="D2384" s="1"/>
    </row>
    <row r="2385" spans="1:4">
      <c r="A2385" s="1"/>
      <c r="D2385" s="1"/>
    </row>
    <row r="2386" spans="1:4">
      <c r="A2386" s="1"/>
      <c r="D2386" s="1"/>
    </row>
    <row r="2387" spans="1:4">
      <c r="A2387" s="1"/>
      <c r="D2387" s="1"/>
    </row>
    <row r="2388" spans="1:4">
      <c r="A2388" s="1"/>
      <c r="D2388" s="1"/>
    </row>
    <row r="2389" spans="1:4">
      <c r="A2389" s="1"/>
      <c r="D2389" s="1"/>
    </row>
    <row r="2390" spans="1:4">
      <c r="A2390" s="1"/>
      <c r="D2390" s="1"/>
    </row>
    <row r="2391" spans="1:4">
      <c r="A2391" s="1"/>
      <c r="D2391" s="1"/>
    </row>
    <row r="2392" spans="1:4">
      <c r="A2392" s="1"/>
      <c r="D2392" s="1"/>
    </row>
    <row r="2393" spans="1:4">
      <c r="A2393" s="1"/>
      <c r="D2393" s="1"/>
    </row>
    <row r="2394" spans="1:4">
      <c r="A2394" s="1"/>
      <c r="D2394" s="1"/>
    </row>
    <row r="2395" spans="1:4">
      <c r="A2395" s="1"/>
      <c r="D2395" s="1"/>
    </row>
    <row r="2396" spans="1:4">
      <c r="A2396" s="1"/>
      <c r="D2396" s="1"/>
    </row>
    <row r="2397" spans="1:4">
      <c r="A2397" s="1"/>
      <c r="D2397" s="1"/>
    </row>
    <row r="2398" spans="1:4">
      <c r="A2398" s="1"/>
      <c r="D2398" s="1"/>
    </row>
    <row r="2399" spans="1:4">
      <c r="A2399" s="1"/>
      <c r="D2399" s="1"/>
    </row>
    <row r="2400" spans="1:4">
      <c r="A2400" s="1"/>
      <c r="D2400" s="1"/>
    </row>
    <row r="2401" spans="1:4">
      <c r="A2401" s="1"/>
      <c r="D2401" s="1"/>
    </row>
    <row r="2402" spans="1:4">
      <c r="A2402" s="1"/>
      <c r="D2402" s="1"/>
    </row>
    <row r="2403" spans="1:4">
      <c r="A2403" s="1"/>
      <c r="D2403" s="1"/>
    </row>
    <row r="2404" spans="1:4">
      <c r="A2404" s="1"/>
      <c r="D2404" s="1"/>
    </row>
    <row r="2405" spans="1:4">
      <c r="A2405" s="1"/>
      <c r="D2405" s="1"/>
    </row>
    <row r="2406" spans="1:4">
      <c r="A2406" s="1"/>
      <c r="D2406" s="1"/>
    </row>
    <row r="2407" spans="1:4">
      <c r="A2407" s="1"/>
      <c r="D2407" s="1"/>
    </row>
    <row r="2408" spans="1:4">
      <c r="A2408" s="1"/>
      <c r="D2408" s="1"/>
    </row>
    <row r="2409" spans="1:4">
      <c r="A2409" s="1"/>
      <c r="D2409" s="1"/>
    </row>
    <row r="2410" spans="1:4">
      <c r="A2410" s="1"/>
      <c r="D2410" s="1"/>
    </row>
    <row r="2411" spans="1:4">
      <c r="A2411" s="1"/>
      <c r="D2411" s="1"/>
    </row>
    <row r="2412" spans="1:4">
      <c r="A2412" s="1"/>
      <c r="D2412" s="1"/>
    </row>
    <row r="2413" spans="1:4">
      <c r="A2413" s="1"/>
      <c r="D2413" s="1"/>
    </row>
    <row r="2414" spans="1:4">
      <c r="A2414" s="1"/>
      <c r="D2414" s="1"/>
    </row>
    <row r="2415" spans="1:4">
      <c r="A2415" s="1"/>
      <c r="D2415" s="1"/>
    </row>
    <row r="2416" spans="1:4">
      <c r="A2416" s="1"/>
      <c r="D2416" s="1"/>
    </row>
    <row r="2417" spans="1:4">
      <c r="A2417" s="1"/>
      <c r="D2417" s="1"/>
    </row>
    <row r="2418" spans="1:4">
      <c r="A2418" s="1"/>
      <c r="D2418" s="1"/>
    </row>
    <row r="2419" spans="1:4">
      <c r="A2419" s="1"/>
      <c r="D2419" s="1"/>
    </row>
    <row r="2420" spans="1:4">
      <c r="A2420" s="1"/>
      <c r="D2420" s="1"/>
    </row>
    <row r="2421" spans="1:4">
      <c r="A2421" s="1"/>
      <c r="D2421" s="1"/>
    </row>
    <row r="2422" spans="1:4">
      <c r="A2422" s="1"/>
      <c r="D2422" s="1"/>
    </row>
    <row r="2423" spans="1:4">
      <c r="A2423" s="1"/>
      <c r="D2423" s="1"/>
    </row>
    <row r="2424" spans="1:4">
      <c r="A2424" s="1"/>
      <c r="D2424" s="1"/>
    </row>
    <row r="2425" spans="1:4">
      <c r="A2425" s="1"/>
      <c r="D2425" s="1"/>
    </row>
    <row r="2426" spans="1:4">
      <c r="A2426" s="1"/>
      <c r="D2426" s="1"/>
    </row>
    <row r="2427" spans="1:4">
      <c r="A2427" s="1"/>
      <c r="D2427" s="1"/>
    </row>
    <row r="2428" spans="1:4">
      <c r="A2428" s="1"/>
      <c r="D2428" s="1"/>
    </row>
    <row r="2429" spans="1:4">
      <c r="A2429" s="1"/>
      <c r="D2429" s="1"/>
    </row>
    <row r="2430" spans="1:4">
      <c r="A2430" s="1"/>
      <c r="D2430" s="1"/>
    </row>
    <row r="2431" spans="1:4">
      <c r="A2431" s="1"/>
      <c r="D2431" s="1"/>
    </row>
    <row r="2432" spans="1:4">
      <c r="A2432" s="1"/>
      <c r="D2432" s="1"/>
    </row>
    <row r="2433" spans="1:4">
      <c r="A2433" s="1"/>
      <c r="D2433" s="1"/>
    </row>
    <row r="2434" spans="1:4">
      <c r="A2434" s="1"/>
      <c r="D2434" s="1"/>
    </row>
    <row r="2435" spans="1:4">
      <c r="A2435" s="1"/>
      <c r="D2435" s="1"/>
    </row>
    <row r="2436" spans="1:4">
      <c r="A2436" s="1"/>
      <c r="D2436" s="1"/>
    </row>
    <row r="2437" spans="1:4">
      <c r="A2437" s="1"/>
      <c r="D2437" s="1"/>
    </row>
    <row r="2438" spans="1:4">
      <c r="A2438" s="1"/>
      <c r="D2438" s="1"/>
    </row>
    <row r="2439" spans="1:4">
      <c r="A2439" s="1"/>
      <c r="D2439" s="1"/>
    </row>
    <row r="2440" spans="1:4">
      <c r="A2440" s="1"/>
      <c r="D2440" s="1"/>
    </row>
    <row r="2441" spans="1:4">
      <c r="A2441" s="1"/>
      <c r="D2441" s="1"/>
    </row>
    <row r="2442" spans="1:4">
      <c r="A2442" s="1"/>
      <c r="D2442" s="1"/>
    </row>
    <row r="2443" spans="1:4">
      <c r="A2443" s="1"/>
      <c r="D2443" s="1"/>
    </row>
    <row r="2444" spans="1:4">
      <c r="A2444" s="1"/>
      <c r="D2444" s="1"/>
    </row>
    <row r="2445" spans="1:4">
      <c r="A2445" s="1"/>
      <c r="D2445" s="1"/>
    </row>
    <row r="2446" spans="1:4">
      <c r="A2446" s="1"/>
      <c r="D2446" s="1"/>
    </row>
    <row r="2447" spans="1:4">
      <c r="A2447" s="1"/>
      <c r="D2447" s="1"/>
    </row>
    <row r="2448" spans="1:4">
      <c r="A2448" s="1"/>
      <c r="D2448" s="1"/>
    </row>
    <row r="2449" spans="1:4">
      <c r="A2449" s="1"/>
      <c r="D2449" s="1"/>
    </row>
    <row r="2450" spans="1:4">
      <c r="A2450" s="1"/>
      <c r="D2450" s="1"/>
    </row>
    <row r="2451" spans="1:4">
      <c r="A2451" s="1"/>
      <c r="D2451" s="1"/>
    </row>
    <row r="2452" spans="1:4">
      <c r="A2452" s="1"/>
      <c r="D2452" s="1"/>
    </row>
    <row r="2453" spans="1:4">
      <c r="A2453" s="1"/>
      <c r="D2453" s="1"/>
    </row>
    <row r="2454" spans="1:4">
      <c r="A2454" s="1"/>
      <c r="D2454" s="1"/>
    </row>
    <row r="2455" spans="1:4">
      <c r="A2455" s="1"/>
      <c r="D2455" s="1"/>
    </row>
    <row r="2456" spans="1:4">
      <c r="A2456" s="1"/>
      <c r="D2456" s="1"/>
    </row>
    <row r="2457" spans="1:4">
      <c r="A2457" s="1"/>
      <c r="D2457" s="1"/>
    </row>
    <row r="2458" spans="1:4">
      <c r="A2458" s="1"/>
      <c r="D2458" s="1"/>
    </row>
    <row r="2459" spans="1:4">
      <c r="A2459" s="1"/>
      <c r="D2459" s="1"/>
    </row>
    <row r="2460" spans="1:4">
      <c r="A2460" s="1"/>
      <c r="D2460" s="1"/>
    </row>
    <row r="2461" spans="1:4">
      <c r="A2461" s="1"/>
      <c r="D2461" s="1"/>
    </row>
    <row r="2462" spans="1:4">
      <c r="A2462" s="1"/>
      <c r="D2462" s="1"/>
    </row>
    <row r="2463" spans="1:4">
      <c r="A2463" s="1"/>
      <c r="D2463" s="1"/>
    </row>
    <row r="2464" spans="1:4">
      <c r="A2464" s="1"/>
      <c r="D2464" s="1"/>
    </row>
    <row r="2465" spans="1:4">
      <c r="A2465" s="1"/>
      <c r="D2465" s="1"/>
    </row>
    <row r="2466" spans="1:4">
      <c r="A2466" s="1"/>
      <c r="D2466" s="1"/>
    </row>
    <row r="2467" spans="1:4">
      <c r="A2467" s="1"/>
      <c r="D2467" s="1"/>
    </row>
    <row r="2468" spans="1:4">
      <c r="A2468" s="1"/>
      <c r="D2468" s="1"/>
    </row>
    <row r="2469" spans="1:4">
      <c r="A2469" s="1"/>
      <c r="D2469" s="1"/>
    </row>
    <row r="2470" spans="1:4">
      <c r="A2470" s="1"/>
      <c r="D2470" s="1"/>
    </row>
    <row r="2471" spans="1:4">
      <c r="A2471" s="1"/>
      <c r="D2471" s="1"/>
    </row>
    <row r="2472" spans="1:4">
      <c r="A2472" s="1"/>
      <c r="D2472" s="1"/>
    </row>
    <row r="2473" spans="1:4">
      <c r="A2473" s="1"/>
      <c r="D2473" s="1"/>
    </row>
    <row r="2474" spans="1:4">
      <c r="A2474" s="1"/>
      <c r="D2474" s="1"/>
    </row>
    <row r="2475" spans="1:4">
      <c r="A2475" s="1"/>
      <c r="D2475" s="1"/>
    </row>
    <row r="2476" spans="1:4">
      <c r="A2476" s="1"/>
      <c r="D2476" s="1"/>
    </row>
    <row r="2477" spans="1:4">
      <c r="A2477" s="1"/>
      <c r="D2477" s="1"/>
    </row>
    <row r="2478" spans="1:4">
      <c r="A2478" s="1"/>
      <c r="D2478" s="1"/>
    </row>
    <row r="2479" spans="1:4">
      <c r="A2479" s="1"/>
      <c r="D2479" s="1"/>
    </row>
    <row r="2480" spans="1:4">
      <c r="A2480" s="1"/>
      <c r="D2480" s="1"/>
    </row>
    <row r="2481" spans="1:4">
      <c r="A2481" s="1"/>
      <c r="D2481" s="1"/>
    </row>
    <row r="2482" spans="1:4">
      <c r="A2482" s="1"/>
      <c r="D2482" s="1"/>
    </row>
    <row r="2483" spans="1:4">
      <c r="A2483" s="1"/>
      <c r="D2483" s="1"/>
    </row>
    <row r="2484" spans="1:4">
      <c r="A2484" s="1"/>
      <c r="D2484" s="1"/>
    </row>
    <row r="2485" spans="1:4">
      <c r="A2485" s="1"/>
      <c r="D2485" s="1"/>
    </row>
    <row r="2486" spans="1:4">
      <c r="A2486" s="1"/>
      <c r="D2486" s="1"/>
    </row>
    <row r="2487" spans="1:4">
      <c r="A2487" s="1"/>
      <c r="D2487" s="1"/>
    </row>
    <row r="2488" spans="1:4">
      <c r="A2488" s="1"/>
      <c r="D2488" s="1"/>
    </row>
    <row r="2489" spans="1:4">
      <c r="A2489" s="1"/>
      <c r="D2489" s="1"/>
    </row>
    <row r="2490" spans="1:4">
      <c r="A2490" s="1"/>
      <c r="D2490" s="1"/>
    </row>
    <row r="2491" spans="1:4">
      <c r="A2491" s="1"/>
      <c r="D2491" s="1"/>
    </row>
    <row r="2492" spans="1:4">
      <c r="A2492" s="1"/>
      <c r="D2492" s="1"/>
    </row>
    <row r="2493" spans="1:4">
      <c r="A2493" s="1"/>
      <c r="D2493" s="1"/>
    </row>
    <row r="2494" spans="1:4">
      <c r="A2494" s="1"/>
      <c r="D2494" s="1"/>
    </row>
    <row r="2495" spans="1:4">
      <c r="A2495" s="1"/>
      <c r="D2495" s="1"/>
    </row>
    <row r="2496" spans="1:4">
      <c r="A2496" s="1"/>
      <c r="D2496" s="1"/>
    </row>
    <row r="2497" spans="1:4">
      <c r="A2497" s="1"/>
      <c r="D2497" s="1"/>
    </row>
    <row r="2498" spans="1:4">
      <c r="A2498" s="1"/>
      <c r="D2498" s="1"/>
    </row>
    <row r="2499" spans="1:4">
      <c r="A2499" s="1"/>
      <c r="D2499" s="1"/>
    </row>
    <row r="2500" spans="1:4">
      <c r="A2500" s="1"/>
      <c r="D2500" s="1"/>
    </row>
    <row r="2501" spans="1:4">
      <c r="A2501" s="1"/>
      <c r="D2501" s="1"/>
    </row>
    <row r="2502" spans="1:4">
      <c r="A2502" s="1"/>
      <c r="D2502" s="1"/>
    </row>
    <row r="2503" spans="1:4">
      <c r="A2503" s="1"/>
      <c r="D2503" s="1"/>
    </row>
    <row r="2504" spans="1:4">
      <c r="A2504" s="1"/>
      <c r="D2504" s="1"/>
    </row>
    <row r="2505" spans="1:4">
      <c r="A2505" s="1"/>
      <c r="D2505" s="1"/>
    </row>
    <row r="2506" spans="1:4">
      <c r="A2506" s="1"/>
      <c r="D2506" s="1"/>
    </row>
    <row r="2507" spans="1:4">
      <c r="A2507" s="1"/>
      <c r="D2507" s="1"/>
    </row>
    <row r="2508" spans="1:4">
      <c r="A2508" s="1"/>
      <c r="D2508" s="1"/>
    </row>
    <row r="2509" spans="1:4">
      <c r="A2509" s="1"/>
      <c r="D2509" s="1"/>
    </row>
    <row r="2510" spans="1:4">
      <c r="A2510" s="1"/>
      <c r="D2510" s="1"/>
    </row>
    <row r="2511" spans="1:4">
      <c r="A2511" s="1"/>
      <c r="D2511" s="1"/>
    </row>
    <row r="2512" spans="1:4">
      <c r="A2512" s="1"/>
      <c r="D2512" s="1"/>
    </row>
    <row r="2513" spans="1:4">
      <c r="A2513" s="1"/>
      <c r="D2513" s="1"/>
    </row>
    <row r="2514" spans="1:4">
      <c r="A2514" s="1"/>
      <c r="D2514" s="1"/>
    </row>
    <row r="2515" spans="1:4">
      <c r="A2515" s="1"/>
      <c r="D2515" s="1"/>
    </row>
    <row r="2516" spans="1:4">
      <c r="A2516" s="1"/>
      <c r="D2516" s="1"/>
    </row>
    <row r="2517" spans="1:4">
      <c r="A2517" s="1"/>
      <c r="D2517" s="1"/>
    </row>
    <row r="2518" spans="1:4">
      <c r="A2518" s="1"/>
      <c r="D2518" s="1"/>
    </row>
    <row r="2519" spans="1:4">
      <c r="A2519" s="1"/>
      <c r="D2519" s="1"/>
    </row>
    <row r="2520" spans="1:4">
      <c r="A2520" s="1"/>
      <c r="D2520" s="1"/>
    </row>
    <row r="2521" spans="1:4">
      <c r="A2521" s="1"/>
      <c r="D2521" s="1"/>
    </row>
    <row r="2522" spans="1:4">
      <c r="A2522" s="1"/>
      <c r="D2522" s="1"/>
    </row>
    <row r="2523" spans="1:4">
      <c r="A2523" s="1"/>
      <c r="D2523" s="1"/>
    </row>
    <row r="2524" spans="1:4">
      <c r="A2524" s="1"/>
      <c r="D2524" s="1"/>
    </row>
    <row r="2525" spans="1:4">
      <c r="A2525" s="1"/>
      <c r="D2525" s="1"/>
    </row>
    <row r="2526" spans="1:4">
      <c r="A2526" s="1"/>
      <c r="D2526" s="1"/>
    </row>
    <row r="2527" spans="1:4">
      <c r="A2527" s="1"/>
      <c r="D2527" s="1"/>
    </row>
    <row r="2528" spans="1:4">
      <c r="A2528" s="1"/>
      <c r="D2528" s="1"/>
    </row>
    <row r="2529" spans="1:4">
      <c r="A2529" s="1"/>
      <c r="D2529" s="1"/>
    </row>
    <row r="2530" spans="1:4">
      <c r="A2530" s="1"/>
      <c r="D2530" s="1"/>
    </row>
    <row r="2531" spans="1:4">
      <c r="A2531" s="1"/>
      <c r="D2531" s="1"/>
    </row>
    <row r="2532" spans="1:4">
      <c r="A2532" s="1"/>
      <c r="D2532" s="1"/>
    </row>
    <row r="2533" spans="1:4">
      <c r="A2533" s="1"/>
      <c r="D2533" s="1"/>
    </row>
    <row r="2534" spans="1:4">
      <c r="A2534" s="1"/>
      <c r="D2534" s="1"/>
    </row>
    <row r="2535" spans="1:4">
      <c r="A2535" s="1"/>
      <c r="D2535" s="1"/>
    </row>
    <row r="2536" spans="1:4">
      <c r="A2536" s="1"/>
      <c r="D2536" s="1"/>
    </row>
    <row r="2537" spans="1:4">
      <c r="A2537" s="1"/>
      <c r="D2537" s="1"/>
    </row>
    <row r="2538" spans="1:4">
      <c r="A2538" s="1"/>
      <c r="D2538" s="1"/>
    </row>
    <row r="2539" spans="1:4">
      <c r="A2539" s="1"/>
      <c r="D2539" s="1"/>
    </row>
    <row r="2540" spans="1:4">
      <c r="A2540" s="1"/>
      <c r="D2540" s="1"/>
    </row>
    <row r="2541" spans="1:4">
      <c r="A2541" s="1"/>
      <c r="D2541" s="1"/>
    </row>
    <row r="2542" spans="1:4">
      <c r="A2542" s="1"/>
      <c r="D2542" s="1"/>
    </row>
    <row r="2543" spans="1:4">
      <c r="A2543" s="1"/>
      <c r="D2543" s="1"/>
    </row>
    <row r="2544" spans="1:4">
      <c r="A2544" s="1"/>
      <c r="D2544" s="1"/>
    </row>
    <row r="2545" spans="1:4">
      <c r="A2545" s="1"/>
      <c r="D2545" s="1"/>
    </row>
    <row r="2546" spans="1:4">
      <c r="A2546" s="1"/>
      <c r="D2546" s="1"/>
    </row>
    <row r="2547" spans="1:4">
      <c r="A2547" s="1"/>
      <c r="D2547" s="1"/>
    </row>
    <row r="2548" spans="1:4">
      <c r="A2548" s="1"/>
      <c r="D2548" s="1"/>
    </row>
    <row r="2549" spans="1:4">
      <c r="A2549" s="1"/>
      <c r="D2549" s="1"/>
    </row>
    <row r="2550" spans="1:4">
      <c r="A2550" s="1"/>
      <c r="D2550" s="1"/>
    </row>
    <row r="2551" spans="1:4">
      <c r="A2551" s="1"/>
      <c r="D2551" s="1"/>
    </row>
    <row r="2552" spans="1:4">
      <c r="A2552" s="1"/>
      <c r="D2552" s="1"/>
    </row>
    <row r="2553" spans="1:4">
      <c r="A2553" s="1"/>
      <c r="D2553" s="1"/>
    </row>
    <row r="2554" spans="1:4">
      <c r="A2554" s="1"/>
      <c r="D2554" s="1"/>
    </row>
    <row r="2555" spans="1:4">
      <c r="A2555" s="1"/>
      <c r="D2555" s="1"/>
    </row>
    <row r="2556" spans="1:4">
      <c r="A2556" s="1"/>
      <c r="D2556" s="1"/>
    </row>
    <row r="2557" spans="1:4">
      <c r="A2557" s="1"/>
      <c r="D2557" s="1"/>
    </row>
    <row r="2558" spans="1:4">
      <c r="A2558" s="1"/>
      <c r="D2558" s="1"/>
    </row>
    <row r="2559" spans="1:4">
      <c r="A2559" s="1"/>
      <c r="D2559" s="1"/>
    </row>
    <row r="2560" spans="1:4">
      <c r="A2560" s="1"/>
      <c r="D2560" s="1"/>
    </row>
    <row r="2561" spans="1:4">
      <c r="A2561" s="1"/>
      <c r="D2561" s="1"/>
    </row>
    <row r="2562" spans="1:4">
      <c r="A2562" s="1"/>
      <c r="D2562" s="1"/>
    </row>
    <row r="2563" spans="1:4">
      <c r="A2563" s="1"/>
      <c r="D2563" s="1"/>
    </row>
    <row r="2564" spans="1:4">
      <c r="A2564" s="1"/>
      <c r="D2564" s="1"/>
    </row>
    <row r="2565" spans="1:4">
      <c r="A2565" s="1"/>
      <c r="D2565" s="1"/>
    </row>
    <row r="2566" spans="1:4">
      <c r="A2566" s="1"/>
      <c r="D2566" s="1"/>
    </row>
    <row r="2567" spans="1:4">
      <c r="A2567" s="1"/>
      <c r="D2567" s="1"/>
    </row>
    <row r="2568" spans="1:4">
      <c r="A2568" s="1"/>
      <c r="D2568" s="1"/>
    </row>
    <row r="2569" spans="1:4">
      <c r="A2569" s="1"/>
      <c r="D2569" s="1"/>
    </row>
    <row r="2570" spans="1:4">
      <c r="A2570" s="1"/>
      <c r="D2570" s="1"/>
    </row>
    <row r="2571" spans="1:4">
      <c r="A2571" s="1"/>
      <c r="D2571" s="1"/>
    </row>
    <row r="2572" spans="1:4">
      <c r="A2572" s="1"/>
      <c r="D2572" s="1"/>
    </row>
    <row r="2573" spans="1:4">
      <c r="A2573" s="1"/>
      <c r="D2573" s="1"/>
    </row>
    <row r="2574" spans="1:4">
      <c r="A2574" s="1"/>
      <c r="D2574" s="1"/>
    </row>
    <row r="2575" spans="1:4">
      <c r="A2575" s="1"/>
      <c r="D2575" s="1"/>
    </row>
    <row r="2576" spans="1:4">
      <c r="A2576" s="1"/>
      <c r="D2576" s="1"/>
    </row>
    <row r="2577" spans="1:4">
      <c r="A2577" s="1"/>
      <c r="D2577" s="1"/>
    </row>
    <row r="2578" spans="1:4">
      <c r="A2578" s="1"/>
      <c r="D2578" s="1"/>
    </row>
    <row r="2579" spans="1:4">
      <c r="A2579" s="1"/>
      <c r="D2579" s="1"/>
    </row>
    <row r="2580" spans="1:4">
      <c r="A2580" s="1"/>
      <c r="D2580" s="1"/>
    </row>
    <row r="2581" spans="1:4">
      <c r="A2581" s="1"/>
      <c r="D2581" s="1"/>
    </row>
    <row r="2582" spans="1:4">
      <c r="A2582" s="1"/>
      <c r="D2582" s="1"/>
    </row>
    <row r="2583" spans="1:4">
      <c r="A2583" s="1"/>
      <c r="D2583" s="1"/>
    </row>
    <row r="2584" spans="1:4">
      <c r="A2584" s="1"/>
      <c r="D2584" s="1"/>
    </row>
    <row r="2585" spans="1:4">
      <c r="A2585" s="1"/>
      <c r="D2585" s="1"/>
    </row>
    <row r="2586" spans="1:4">
      <c r="A2586" s="1"/>
      <c r="D2586" s="1"/>
    </row>
    <row r="2587" spans="1:4">
      <c r="A2587" s="1"/>
      <c r="D2587" s="1"/>
    </row>
    <row r="2588" spans="1:4">
      <c r="A2588" s="1"/>
      <c r="D2588" s="1"/>
    </row>
    <row r="2589" spans="1:4">
      <c r="A2589" s="1"/>
      <c r="D2589" s="1"/>
    </row>
    <row r="2590" spans="1:4">
      <c r="A2590" s="1"/>
      <c r="D2590" s="1"/>
    </row>
    <row r="2591" spans="1:4">
      <c r="A2591" s="1"/>
      <c r="D2591" s="1"/>
    </row>
    <row r="2592" spans="1:4">
      <c r="A2592" s="1"/>
      <c r="D2592" s="1"/>
    </row>
    <row r="2593" spans="1:4">
      <c r="A2593" s="1"/>
      <c r="D2593" s="1"/>
    </row>
    <row r="2594" spans="1:4">
      <c r="A2594" s="1"/>
      <c r="D2594" s="1"/>
    </row>
    <row r="2595" spans="1:4">
      <c r="A2595" s="1"/>
      <c r="D2595" s="1"/>
    </row>
    <row r="2596" spans="1:4">
      <c r="A2596" s="1"/>
      <c r="D2596" s="1"/>
    </row>
    <row r="2597" spans="1:4">
      <c r="A2597" s="1"/>
      <c r="D2597" s="1"/>
    </row>
    <row r="2598" spans="1:4">
      <c r="A2598" s="1"/>
      <c r="D2598" s="1"/>
    </row>
    <row r="2599" spans="1:4">
      <c r="A2599" s="1"/>
      <c r="D2599" s="1"/>
    </row>
    <row r="2600" spans="1:4">
      <c r="A2600" s="1"/>
      <c r="D2600" s="1"/>
    </row>
    <row r="2601" spans="1:4">
      <c r="A2601" s="1"/>
      <c r="D2601" s="1"/>
    </row>
    <row r="2602" spans="1:4">
      <c r="A2602" s="1"/>
      <c r="D2602" s="1"/>
    </row>
    <row r="2603" spans="1:4">
      <c r="A2603" s="1"/>
      <c r="D2603" s="1"/>
    </row>
    <row r="2604" spans="1:4">
      <c r="A2604" s="1"/>
      <c r="D2604" s="1"/>
    </row>
    <row r="2605" spans="1:4">
      <c r="A2605" s="1"/>
      <c r="D2605" s="1"/>
    </row>
    <row r="2606" spans="1:4">
      <c r="A2606" s="1"/>
      <c r="D2606" s="1"/>
    </row>
    <row r="2607" spans="1:4">
      <c r="A2607" s="1"/>
      <c r="D2607" s="1"/>
    </row>
    <row r="2608" spans="1:4">
      <c r="A2608" s="1"/>
      <c r="D2608" s="1"/>
    </row>
    <row r="2609" spans="1:4">
      <c r="A2609" s="1"/>
      <c r="D2609" s="1"/>
    </row>
    <row r="2610" spans="1:4">
      <c r="A2610" s="1"/>
      <c r="D2610" s="1"/>
    </row>
    <row r="2611" spans="1:4">
      <c r="A2611" s="1"/>
      <c r="D2611" s="1"/>
    </row>
    <row r="2612" spans="1:4">
      <c r="A2612" s="1"/>
      <c r="D2612" s="1"/>
    </row>
    <row r="2613" spans="1:4">
      <c r="A2613" s="1"/>
      <c r="D2613" s="1"/>
    </row>
    <row r="2614" spans="1:4">
      <c r="A2614" s="1"/>
      <c r="D2614" s="1"/>
    </row>
    <row r="2615" spans="1:4">
      <c r="A2615" s="1"/>
      <c r="D2615" s="1"/>
    </row>
    <row r="2616" spans="1:4">
      <c r="A2616" s="1"/>
      <c r="D2616" s="1"/>
    </row>
    <row r="2617" spans="1:4">
      <c r="A2617" s="1"/>
      <c r="D2617" s="1"/>
    </row>
    <row r="2618" spans="1:4">
      <c r="A2618" s="1"/>
      <c r="D2618" s="1"/>
    </row>
    <row r="2619" spans="1:4">
      <c r="A2619" s="1"/>
      <c r="D2619" s="1"/>
    </row>
    <row r="2620" spans="1:4">
      <c r="A2620" s="1"/>
      <c r="D2620" s="1"/>
    </row>
    <row r="2621" spans="1:4">
      <c r="A2621" s="1"/>
      <c r="D2621" s="1"/>
    </row>
    <row r="2622" spans="1:4">
      <c r="A2622" s="1"/>
      <c r="D2622" s="1"/>
    </row>
    <row r="2623" spans="1:4">
      <c r="A2623" s="1"/>
      <c r="D2623" s="1"/>
    </row>
    <row r="2624" spans="1:4">
      <c r="A2624" s="1"/>
      <c r="D2624" s="1"/>
    </row>
    <row r="2625" spans="1:4">
      <c r="A2625" s="1"/>
      <c r="D2625" s="1"/>
    </row>
    <row r="2626" spans="1:4">
      <c r="A2626" s="1"/>
      <c r="D2626" s="1"/>
    </row>
    <row r="2627" spans="1:4">
      <c r="A2627" s="1"/>
      <c r="D2627" s="1"/>
    </row>
    <row r="2628" spans="1:4">
      <c r="A2628" s="1"/>
      <c r="D2628" s="1"/>
    </row>
    <row r="2629" spans="1:4">
      <c r="A2629" s="1"/>
      <c r="D2629" s="1"/>
    </row>
    <row r="2630" spans="1:4">
      <c r="A2630" s="1"/>
      <c r="D2630" s="1"/>
    </row>
    <row r="2631" spans="1:4">
      <c r="A2631" s="1"/>
      <c r="D2631" s="1"/>
    </row>
    <row r="2632" spans="1:4">
      <c r="A2632" s="1"/>
      <c r="D2632" s="1"/>
    </row>
    <row r="2633" spans="1:4">
      <c r="A2633" s="1"/>
      <c r="D2633" s="1"/>
    </row>
    <row r="2634" spans="1:4">
      <c r="A2634" s="1"/>
      <c r="D2634" s="1"/>
    </row>
    <row r="2635" spans="1:4">
      <c r="A2635" s="1"/>
      <c r="D2635" s="1"/>
    </row>
    <row r="2636" spans="1:4">
      <c r="A2636" s="1"/>
      <c r="D2636" s="1"/>
    </row>
    <row r="2637" spans="1:4">
      <c r="A2637" s="1"/>
      <c r="D2637" s="1"/>
    </row>
    <row r="2638" spans="1:4">
      <c r="A2638" s="1"/>
      <c r="D2638" s="1"/>
    </row>
    <row r="2639" spans="1:4">
      <c r="A2639" s="1"/>
      <c r="D2639" s="1"/>
    </row>
    <row r="2640" spans="1:4">
      <c r="A2640" s="1"/>
      <c r="D2640" s="1"/>
    </row>
    <row r="2641" spans="1:4">
      <c r="A2641" s="1"/>
      <c r="D2641" s="1"/>
    </row>
    <row r="2642" spans="1:4">
      <c r="A2642" s="1"/>
      <c r="D2642" s="1"/>
    </row>
    <row r="2643" spans="1:4">
      <c r="A2643" s="1"/>
      <c r="D2643" s="1"/>
    </row>
    <row r="2644" spans="1:4">
      <c r="A2644" s="1"/>
      <c r="D2644" s="1"/>
    </row>
    <row r="2645" spans="1:4">
      <c r="A2645" s="1"/>
      <c r="D2645" s="1"/>
    </row>
    <row r="2646" spans="1:4">
      <c r="A2646" s="1"/>
      <c r="D2646" s="1"/>
    </row>
    <row r="2647" spans="1:4">
      <c r="A2647" s="1"/>
      <c r="D2647" s="1"/>
    </row>
    <row r="2648" spans="1:4">
      <c r="A2648" s="1"/>
      <c r="D2648" s="1"/>
    </row>
    <row r="2649" spans="1:4">
      <c r="A2649" s="1"/>
      <c r="D2649" s="1"/>
    </row>
    <row r="2650" spans="1:4">
      <c r="A2650" s="1"/>
      <c r="D2650" s="1"/>
    </row>
    <row r="2651" spans="1:4">
      <c r="A2651" s="1"/>
      <c r="D2651" s="1"/>
    </row>
    <row r="2652" spans="1:4">
      <c r="A2652" s="1"/>
      <c r="D2652" s="1"/>
    </row>
    <row r="2653" spans="1:4">
      <c r="A2653" s="1"/>
      <c r="D2653" s="1"/>
    </row>
    <row r="2654" spans="1:4">
      <c r="A2654" s="1"/>
      <c r="D2654" s="1"/>
    </row>
    <row r="2655" spans="1:4">
      <c r="A2655" s="1"/>
      <c r="D2655" s="1"/>
    </row>
    <row r="2656" spans="1:4">
      <c r="A2656" s="1"/>
      <c r="D2656" s="1"/>
    </row>
    <row r="2657" spans="1:4">
      <c r="A2657" s="1"/>
      <c r="D2657" s="1"/>
    </row>
    <row r="2658" spans="1:4">
      <c r="A2658" s="1"/>
      <c r="D2658" s="1"/>
    </row>
    <row r="2659" spans="1:4">
      <c r="A2659" s="1"/>
      <c r="D2659" s="1"/>
    </row>
    <row r="2660" spans="1:4">
      <c r="A2660" s="1"/>
      <c r="D2660" s="1"/>
    </row>
    <row r="2661" spans="1:4">
      <c r="A2661" s="1"/>
      <c r="D2661" s="1"/>
    </row>
    <row r="2662" spans="1:4">
      <c r="A2662" s="1"/>
      <c r="D2662" s="1"/>
    </row>
    <row r="2663" spans="1:4">
      <c r="A2663" s="1"/>
      <c r="D2663" s="1"/>
    </row>
    <row r="2664" spans="1:4">
      <c r="A2664" s="1"/>
      <c r="D2664" s="1"/>
    </row>
    <row r="2665" spans="1:4">
      <c r="A2665" s="1"/>
      <c r="D2665" s="1"/>
    </row>
    <row r="2666" spans="1:4">
      <c r="A2666" s="1"/>
      <c r="D2666" s="1"/>
    </row>
    <row r="2667" spans="1:4">
      <c r="A2667" s="1"/>
      <c r="D2667" s="1"/>
    </row>
    <row r="2668" spans="1:4">
      <c r="A2668" s="1"/>
      <c r="D2668" s="1"/>
    </row>
    <row r="2669" spans="1:4">
      <c r="A2669" s="1"/>
      <c r="D2669" s="1"/>
    </row>
    <row r="2670" spans="1:4">
      <c r="A2670" s="1"/>
      <c r="D2670" s="1"/>
    </row>
    <row r="2671" spans="1:4">
      <c r="A2671" s="1"/>
      <c r="D2671" s="1"/>
    </row>
    <row r="2672" spans="1:4">
      <c r="A2672" s="1"/>
      <c r="D2672" s="1"/>
    </row>
    <row r="2673" spans="1:4">
      <c r="A2673" s="1"/>
      <c r="D2673" s="1"/>
    </row>
    <row r="2674" spans="1:4">
      <c r="A2674" s="1"/>
      <c r="D2674" s="1"/>
    </row>
    <row r="2675" spans="1:4">
      <c r="A2675" s="1"/>
      <c r="D2675" s="1"/>
    </row>
    <row r="2676" spans="1:4">
      <c r="A2676" s="1"/>
      <c r="D2676" s="1"/>
    </row>
    <row r="2677" spans="1:4">
      <c r="A2677" s="1"/>
      <c r="D2677" s="1"/>
    </row>
    <row r="2678" spans="1:4">
      <c r="A2678" s="1"/>
      <c r="D2678" s="1"/>
    </row>
    <row r="2679" spans="1:4">
      <c r="A2679" s="1"/>
      <c r="D2679" s="1"/>
    </row>
    <row r="2680" spans="1:4">
      <c r="A2680" s="1"/>
      <c r="D2680" s="1"/>
    </row>
    <row r="2681" spans="1:4">
      <c r="A2681" s="1"/>
      <c r="D2681" s="1"/>
    </row>
    <row r="2682" spans="1:4">
      <c r="A2682" s="1"/>
      <c r="D2682" s="1"/>
    </row>
    <row r="2683" spans="1:4">
      <c r="A2683" s="1"/>
      <c r="D2683" s="1"/>
    </row>
    <row r="2684" spans="1:4">
      <c r="A2684" s="1"/>
      <c r="D2684" s="1"/>
    </row>
    <row r="2685" spans="1:4">
      <c r="A2685" s="1"/>
      <c r="D2685" s="1"/>
    </row>
    <row r="2686" spans="1:4">
      <c r="A2686" s="1"/>
      <c r="D2686" s="1"/>
    </row>
    <row r="2687" spans="1:4">
      <c r="A2687" s="1"/>
      <c r="D2687" s="1"/>
    </row>
    <row r="2688" spans="1:4">
      <c r="A2688" s="1"/>
      <c r="D2688" s="1"/>
    </row>
    <row r="2689" spans="1:4">
      <c r="A2689" s="1"/>
      <c r="D2689" s="1"/>
    </row>
    <row r="2690" spans="1:4">
      <c r="A2690" s="1"/>
      <c r="D2690" s="1"/>
    </row>
    <row r="2691" spans="1:4">
      <c r="A2691" s="1"/>
      <c r="D2691" s="1"/>
    </row>
    <row r="2692" spans="1:4">
      <c r="A2692" s="1"/>
      <c r="D2692" s="1"/>
    </row>
    <row r="2693" spans="1:4">
      <c r="A2693" s="1"/>
      <c r="D2693" s="1"/>
    </row>
    <row r="2694" spans="1:4">
      <c r="A2694" s="1"/>
      <c r="D2694" s="1"/>
    </row>
    <row r="2695" spans="1:4">
      <c r="A2695" s="1"/>
      <c r="D2695" s="1"/>
    </row>
    <row r="2696" spans="1:4">
      <c r="A2696" s="1"/>
      <c r="D2696" s="1"/>
    </row>
    <row r="2697" spans="1:4">
      <c r="A2697" s="1"/>
      <c r="D2697" s="1"/>
    </row>
    <row r="2698" spans="1:4">
      <c r="A2698" s="1"/>
      <c r="D2698" s="1"/>
    </row>
    <row r="2699" spans="1:4">
      <c r="A2699" s="1"/>
      <c r="D2699" s="1"/>
    </row>
    <row r="2700" spans="1:4">
      <c r="A2700" s="1"/>
      <c r="D2700" s="1"/>
    </row>
    <row r="2701" spans="1:4">
      <c r="A2701" s="1"/>
      <c r="D2701" s="1"/>
    </row>
    <row r="2702" spans="1:4">
      <c r="A2702" s="1"/>
      <c r="D2702" s="1"/>
    </row>
    <row r="2703" spans="1:4">
      <c r="A2703" s="1"/>
      <c r="D2703" s="1"/>
    </row>
    <row r="2704" spans="1:4">
      <c r="A2704" s="1"/>
      <c r="D2704" s="1"/>
    </row>
    <row r="2705" spans="1:4">
      <c r="A2705" s="1"/>
      <c r="D2705" s="1"/>
    </row>
    <row r="2706" spans="1:4">
      <c r="A2706" s="1"/>
      <c r="D2706" s="1"/>
    </row>
    <row r="2707" spans="1:4">
      <c r="A2707" s="1"/>
      <c r="D2707" s="1"/>
    </row>
    <row r="2708" spans="1:4">
      <c r="A2708" s="1"/>
      <c r="D2708" s="1"/>
    </row>
    <row r="2709" spans="1:4">
      <c r="A2709" s="1"/>
      <c r="D2709" s="1"/>
    </row>
    <row r="2710" spans="1:4">
      <c r="A2710" s="1"/>
      <c r="D2710" s="1"/>
    </row>
    <row r="2711" spans="1:4">
      <c r="A2711" s="1"/>
      <c r="D2711" s="1"/>
    </row>
    <row r="2712" spans="1:4">
      <c r="A2712" s="1"/>
      <c r="D2712" s="1"/>
    </row>
    <row r="2713" spans="1:4">
      <c r="A2713" s="1"/>
      <c r="D2713" s="1"/>
    </row>
    <row r="2714" spans="1:4">
      <c r="A2714" s="1"/>
      <c r="D2714" s="1"/>
    </row>
    <row r="2715" spans="1:4">
      <c r="A2715" s="1"/>
      <c r="D2715" s="1"/>
    </row>
    <row r="2716" spans="1:4">
      <c r="A2716" s="1"/>
      <c r="D2716" s="1"/>
    </row>
    <row r="2717" spans="1:4">
      <c r="A2717" s="1"/>
      <c r="D2717" s="1"/>
    </row>
    <row r="2718" spans="1:4">
      <c r="A2718" s="1"/>
      <c r="D2718" s="1"/>
    </row>
    <row r="2719" spans="1:4">
      <c r="A2719" s="1"/>
      <c r="D2719" s="1"/>
    </row>
    <row r="2720" spans="1:4">
      <c r="A2720" s="1"/>
      <c r="D2720" s="1"/>
    </row>
    <row r="2721" spans="1:4">
      <c r="A2721" s="1"/>
      <c r="D2721" s="1"/>
    </row>
    <row r="2722" spans="1:4">
      <c r="A2722" s="1"/>
      <c r="D2722" s="1"/>
    </row>
    <row r="2723" spans="1:4">
      <c r="A2723" s="1"/>
      <c r="D2723" s="1"/>
    </row>
    <row r="2724" spans="1:4">
      <c r="A2724" s="1"/>
      <c r="D2724" s="1"/>
    </row>
    <row r="2725" spans="1:4">
      <c r="A2725" s="1"/>
      <c r="D2725" s="1"/>
    </row>
    <row r="2726" spans="1:4">
      <c r="A2726" s="1"/>
      <c r="D2726" s="1"/>
    </row>
    <row r="2727" spans="1:4">
      <c r="A2727" s="1"/>
      <c r="D2727" s="1"/>
    </row>
    <row r="2728" spans="1:4">
      <c r="A2728" s="1"/>
      <c r="D2728" s="1"/>
    </row>
    <row r="2729" spans="1:4">
      <c r="A2729" s="1"/>
      <c r="D2729" s="1"/>
    </row>
    <row r="2730" spans="1:4">
      <c r="A2730" s="1"/>
      <c r="D2730" s="1"/>
    </row>
    <row r="2731" spans="1:4">
      <c r="A2731" s="1"/>
      <c r="D2731" s="1"/>
    </row>
    <row r="2732" spans="1:4">
      <c r="A2732" s="1"/>
      <c r="D2732" s="1"/>
    </row>
    <row r="2733" spans="1:4">
      <c r="A2733" s="1"/>
      <c r="D2733" s="1"/>
    </row>
    <row r="2734" spans="1:4">
      <c r="A2734" s="1"/>
      <c r="D2734" s="1"/>
    </row>
    <row r="2735" spans="1:4">
      <c r="A2735" s="1"/>
      <c r="D2735" s="1"/>
    </row>
    <row r="2736" spans="1:4">
      <c r="A2736" s="1"/>
      <c r="D2736" s="1"/>
    </row>
    <row r="2737" spans="1:4">
      <c r="A2737" s="1"/>
      <c r="D2737" s="1"/>
    </row>
    <row r="2738" spans="1:4">
      <c r="A2738" s="1"/>
      <c r="D2738" s="1"/>
    </row>
    <row r="2739" spans="1:4">
      <c r="A2739" s="1"/>
      <c r="D2739" s="1"/>
    </row>
    <row r="2740" spans="1:4">
      <c r="A2740" s="1"/>
      <c r="D2740" s="1"/>
    </row>
    <row r="2741" spans="1:4">
      <c r="A2741" s="1"/>
      <c r="D2741" s="1"/>
    </row>
    <row r="2742" spans="1:4">
      <c r="A2742" s="1"/>
      <c r="D2742" s="1"/>
    </row>
    <row r="2743" spans="1:4">
      <c r="A2743" s="1"/>
      <c r="D2743" s="1"/>
    </row>
    <row r="2744" spans="1:4">
      <c r="A2744" s="1"/>
      <c r="D2744" s="1"/>
    </row>
    <row r="2745" spans="1:4">
      <c r="A2745" s="1"/>
      <c r="D2745" s="1"/>
    </row>
    <row r="2746" spans="1:4">
      <c r="A2746" s="1"/>
      <c r="D2746" s="1"/>
    </row>
    <row r="2747" spans="1:4">
      <c r="A2747" s="1"/>
      <c r="D2747" s="1"/>
    </row>
    <row r="2748" spans="1:4">
      <c r="A2748" s="1"/>
      <c r="D2748" s="1"/>
    </row>
    <row r="2749" spans="1:4">
      <c r="A2749" s="1"/>
      <c r="D2749" s="1"/>
    </row>
    <row r="2750" spans="1:4">
      <c r="A2750" s="1"/>
      <c r="D2750" s="1"/>
    </row>
    <row r="2751" spans="1:4">
      <c r="A2751" s="1"/>
      <c r="D2751" s="1"/>
    </row>
    <row r="2752" spans="1:4">
      <c r="A2752" s="1"/>
      <c r="D2752" s="1"/>
    </row>
    <row r="2753" spans="1:4">
      <c r="A2753" s="1"/>
      <c r="D2753" s="1"/>
    </row>
    <row r="2754" spans="1:4">
      <c r="A2754" s="1"/>
      <c r="D2754" s="1"/>
    </row>
    <row r="2755" spans="1:4">
      <c r="A2755" s="1"/>
      <c r="D2755" s="1"/>
    </row>
    <row r="2756" spans="1:4">
      <c r="A2756" s="1"/>
      <c r="D2756" s="1"/>
    </row>
    <row r="2757" spans="1:4">
      <c r="A2757" s="1"/>
      <c r="D2757" s="1"/>
    </row>
    <row r="2758" spans="1:4">
      <c r="A2758" s="1"/>
      <c r="D2758" s="1"/>
    </row>
    <row r="2759" spans="1:4">
      <c r="A2759" s="1"/>
      <c r="D2759" s="1"/>
    </row>
    <row r="2760" spans="1:4">
      <c r="A2760" s="1"/>
      <c r="D2760" s="1"/>
    </row>
    <row r="2761" spans="1:4">
      <c r="A2761" s="1"/>
      <c r="D2761" s="1"/>
    </row>
    <row r="2762" spans="1:4">
      <c r="A2762" s="1"/>
      <c r="D2762" s="1"/>
    </row>
    <row r="2763" spans="1:4">
      <c r="A2763" s="1"/>
      <c r="D2763" s="1"/>
    </row>
    <row r="2764" spans="1:4">
      <c r="A2764" s="1"/>
      <c r="D2764" s="1"/>
    </row>
    <row r="2765" spans="1:4">
      <c r="A2765" s="1"/>
      <c r="D2765" s="1"/>
    </row>
    <row r="2766" spans="1:4">
      <c r="A2766" s="1"/>
      <c r="D2766" s="1"/>
    </row>
    <row r="2767" spans="1:4">
      <c r="A2767" s="1"/>
      <c r="D2767" s="1"/>
    </row>
    <row r="2768" spans="1:4">
      <c r="A2768" s="1"/>
      <c r="D2768" s="1"/>
    </row>
    <row r="2769" spans="1:4">
      <c r="A2769" s="1"/>
      <c r="D2769" s="1"/>
    </row>
    <row r="2770" spans="1:4">
      <c r="A2770" s="1"/>
      <c r="D2770" s="1"/>
    </row>
    <row r="2771" spans="1:4">
      <c r="A2771" s="1"/>
      <c r="D2771" s="1"/>
    </row>
    <row r="2772" spans="1:4">
      <c r="A2772" s="1"/>
      <c r="D2772" s="1"/>
    </row>
    <row r="2773" spans="1:4">
      <c r="A2773" s="1"/>
      <c r="D2773" s="1"/>
    </row>
    <row r="2774" spans="1:4">
      <c r="A2774" s="1"/>
      <c r="D2774" s="1"/>
    </row>
    <row r="2775" spans="1:4">
      <c r="A2775" s="1"/>
      <c r="D2775" s="1"/>
    </row>
    <row r="2776" spans="1:4">
      <c r="A2776" s="1"/>
      <c r="D2776" s="1"/>
    </row>
    <row r="2777" spans="1:4">
      <c r="A2777" s="1"/>
      <c r="D2777" s="1"/>
    </row>
    <row r="2778" spans="1:4">
      <c r="A2778" s="1"/>
      <c r="D2778" s="1"/>
    </row>
    <row r="2779" spans="1:4">
      <c r="A2779" s="1"/>
      <c r="D2779" s="1"/>
    </row>
    <row r="2780" spans="1:4">
      <c r="A2780" s="1"/>
      <c r="D2780" s="1"/>
    </row>
    <row r="2781" spans="1:4">
      <c r="A2781" s="1"/>
      <c r="D2781" s="1"/>
    </row>
    <row r="2782" spans="1:4">
      <c r="A2782" s="1"/>
      <c r="D2782" s="1"/>
    </row>
    <row r="2783" spans="1:4">
      <c r="A2783" s="1"/>
      <c r="D2783" s="1"/>
    </row>
    <row r="2784" spans="1:4">
      <c r="A2784" s="1"/>
      <c r="D2784" s="1"/>
    </row>
    <row r="2785" spans="1:4">
      <c r="A2785" s="1"/>
      <c r="D2785" s="1"/>
    </row>
    <row r="2786" spans="1:4">
      <c r="A2786" s="1"/>
      <c r="D2786" s="1"/>
    </row>
    <row r="2787" spans="1:4">
      <c r="A2787" s="1"/>
      <c r="D2787" s="1"/>
    </row>
    <row r="2788" spans="1:4">
      <c r="A2788" s="1"/>
      <c r="D2788" s="1"/>
    </row>
    <row r="2789" spans="1:4">
      <c r="A2789" s="1"/>
      <c r="D2789" s="1"/>
    </row>
    <row r="2790" spans="1:4">
      <c r="A2790" s="1"/>
      <c r="D2790" s="1"/>
    </row>
    <row r="2791" spans="1:4">
      <c r="A2791" s="1"/>
      <c r="D2791" s="1"/>
    </row>
    <row r="2792" spans="1:4">
      <c r="A2792" s="1"/>
      <c r="D2792" s="1"/>
    </row>
  </sheetData>
  <phoneticPr fontId="1" type="noConversion"/>
  <hyperlinks>
    <hyperlink ref="AM14" r:id="rId1"/>
  </hyperlinks>
  <pageMargins left="0.75" right="0.75" top="1" bottom="1" header="0.5" footer="0.5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G486"/>
  <sheetViews>
    <sheetView topLeftCell="A465" workbookViewId="0">
      <selection activeCell="D1" sqref="D1:E486"/>
    </sheetView>
  </sheetViews>
  <sheetFormatPr defaultRowHeight="13.2"/>
  <cols>
    <col min="1" max="1" width="9.109375" bestFit="1" customWidth="1"/>
  </cols>
  <sheetData>
    <row r="1" spans="1:7">
      <c r="A1" s="3">
        <f>DATE(B1,1,1)+C1-1</f>
        <v>33239</v>
      </c>
      <c r="B1">
        <v>1991</v>
      </c>
      <c r="C1">
        <v>1</v>
      </c>
      <c r="D1">
        <v>31.9</v>
      </c>
      <c r="E1">
        <v>20.5</v>
      </c>
      <c r="F1">
        <v>20.925999999999998</v>
      </c>
      <c r="G1">
        <v>5</v>
      </c>
    </row>
    <row r="2" spans="1:7">
      <c r="A2" s="3">
        <f t="shared" ref="A2:A65" si="0">DATE(B2,1,1)+C2-1</f>
        <v>33240</v>
      </c>
      <c r="B2">
        <v>1991</v>
      </c>
      <c r="C2">
        <v>2</v>
      </c>
      <c r="D2">
        <v>28.6</v>
      </c>
      <c r="E2">
        <v>22.1</v>
      </c>
      <c r="F2">
        <v>19.376000000000001</v>
      </c>
      <c r="G2">
        <v>2.2999999999999998</v>
      </c>
    </row>
    <row r="3" spans="1:7">
      <c r="A3" s="3">
        <f t="shared" si="0"/>
        <v>33241</v>
      </c>
      <c r="B3">
        <v>1991</v>
      </c>
      <c r="C3">
        <v>3</v>
      </c>
      <c r="D3">
        <v>30.6</v>
      </c>
      <c r="E3">
        <v>20.6</v>
      </c>
      <c r="F3">
        <v>17.777000000000001</v>
      </c>
      <c r="G3">
        <v>12.4</v>
      </c>
    </row>
    <row r="4" spans="1:7">
      <c r="A4" s="3">
        <f t="shared" si="0"/>
        <v>33242</v>
      </c>
      <c r="B4">
        <v>1991</v>
      </c>
      <c r="C4">
        <v>4</v>
      </c>
      <c r="D4">
        <v>31</v>
      </c>
      <c r="E4">
        <v>21</v>
      </c>
      <c r="F4">
        <v>24.704000000000001</v>
      </c>
      <c r="G4">
        <v>0</v>
      </c>
    </row>
    <row r="5" spans="1:7">
      <c r="A5" s="3">
        <f t="shared" si="0"/>
        <v>33243</v>
      </c>
      <c r="B5">
        <v>1991</v>
      </c>
      <c r="C5">
        <v>5</v>
      </c>
      <c r="D5">
        <v>28.5</v>
      </c>
      <c r="E5">
        <v>21.5</v>
      </c>
      <c r="F5">
        <v>19.181999999999999</v>
      </c>
      <c r="G5">
        <v>4.2</v>
      </c>
    </row>
    <row r="6" spans="1:7">
      <c r="A6" s="3">
        <f t="shared" si="0"/>
        <v>33244</v>
      </c>
      <c r="B6">
        <v>1991</v>
      </c>
      <c r="C6">
        <v>6</v>
      </c>
      <c r="D6">
        <v>32.5</v>
      </c>
      <c r="E6">
        <v>23.5</v>
      </c>
      <c r="F6">
        <v>7.218</v>
      </c>
      <c r="G6">
        <v>6.4</v>
      </c>
    </row>
    <row r="7" spans="1:7">
      <c r="A7" s="3">
        <f t="shared" si="0"/>
        <v>33245</v>
      </c>
      <c r="B7">
        <v>1991</v>
      </c>
      <c r="C7">
        <v>7</v>
      </c>
      <c r="D7">
        <v>32.4</v>
      </c>
      <c r="E7">
        <v>14.9</v>
      </c>
      <c r="F7">
        <v>21.797999999999998</v>
      </c>
      <c r="G7">
        <v>5</v>
      </c>
    </row>
    <row r="8" spans="1:7">
      <c r="A8" s="3">
        <f t="shared" si="0"/>
        <v>33246</v>
      </c>
      <c r="B8">
        <v>1991</v>
      </c>
      <c r="C8">
        <v>8</v>
      </c>
      <c r="D8">
        <v>29.5</v>
      </c>
      <c r="E8">
        <v>19.399999999999999</v>
      </c>
      <c r="F8">
        <v>26.786999999999999</v>
      </c>
      <c r="G8">
        <v>0</v>
      </c>
    </row>
    <row r="9" spans="1:7">
      <c r="A9" s="3">
        <f t="shared" si="0"/>
        <v>33247</v>
      </c>
      <c r="B9">
        <v>1991</v>
      </c>
      <c r="C9">
        <v>9</v>
      </c>
      <c r="D9">
        <v>30.5</v>
      </c>
      <c r="E9">
        <v>17.100000000000001</v>
      </c>
      <c r="F9">
        <v>28.919</v>
      </c>
      <c r="G9">
        <v>0</v>
      </c>
    </row>
    <row r="10" spans="1:7">
      <c r="A10" s="3">
        <f t="shared" si="0"/>
        <v>33248</v>
      </c>
      <c r="B10">
        <v>1991</v>
      </c>
      <c r="C10">
        <v>10</v>
      </c>
      <c r="D10">
        <v>30.4</v>
      </c>
      <c r="E10">
        <v>15.5</v>
      </c>
      <c r="F10">
        <v>24.995000000000001</v>
      </c>
      <c r="G10">
        <v>0</v>
      </c>
    </row>
    <row r="11" spans="1:7">
      <c r="A11" s="3">
        <f t="shared" si="0"/>
        <v>33249</v>
      </c>
      <c r="B11">
        <v>1991</v>
      </c>
      <c r="C11">
        <v>11</v>
      </c>
      <c r="D11">
        <v>32</v>
      </c>
      <c r="E11">
        <v>15.1</v>
      </c>
      <c r="F11">
        <v>25.722000000000001</v>
      </c>
      <c r="G11">
        <v>0</v>
      </c>
    </row>
    <row r="12" spans="1:7">
      <c r="A12" s="3">
        <f t="shared" si="0"/>
        <v>33250</v>
      </c>
      <c r="B12">
        <v>1991</v>
      </c>
      <c r="C12">
        <v>12</v>
      </c>
      <c r="D12">
        <v>32</v>
      </c>
      <c r="E12">
        <v>16</v>
      </c>
      <c r="F12">
        <v>25.091999999999999</v>
      </c>
      <c r="G12">
        <v>0</v>
      </c>
    </row>
    <row r="13" spans="1:7">
      <c r="A13" s="3">
        <f t="shared" si="0"/>
        <v>33251</v>
      </c>
      <c r="B13">
        <v>1991</v>
      </c>
      <c r="C13">
        <v>13</v>
      </c>
      <c r="D13">
        <v>32.1</v>
      </c>
      <c r="E13">
        <v>17</v>
      </c>
      <c r="F13">
        <v>30.081</v>
      </c>
      <c r="G13">
        <v>0</v>
      </c>
    </row>
    <row r="14" spans="1:7">
      <c r="A14" s="3">
        <f t="shared" si="0"/>
        <v>33252</v>
      </c>
      <c r="B14">
        <v>1991</v>
      </c>
      <c r="C14">
        <v>14</v>
      </c>
      <c r="D14">
        <v>31.4</v>
      </c>
      <c r="E14">
        <v>18.100000000000001</v>
      </c>
      <c r="F14">
        <v>24.22</v>
      </c>
      <c r="G14">
        <v>0</v>
      </c>
    </row>
    <row r="15" spans="1:7">
      <c r="A15" s="3">
        <f t="shared" si="0"/>
        <v>33253</v>
      </c>
      <c r="B15">
        <v>1991</v>
      </c>
      <c r="C15">
        <v>15</v>
      </c>
      <c r="D15">
        <v>33</v>
      </c>
      <c r="E15">
        <v>19.600000000000001</v>
      </c>
      <c r="F15">
        <v>23.783999999999999</v>
      </c>
      <c r="G15">
        <v>0</v>
      </c>
    </row>
    <row r="16" spans="1:7">
      <c r="A16" s="3">
        <f t="shared" si="0"/>
        <v>33254</v>
      </c>
      <c r="B16">
        <v>1991</v>
      </c>
      <c r="C16">
        <v>16</v>
      </c>
      <c r="D16">
        <v>31.9</v>
      </c>
      <c r="E16">
        <v>19.2</v>
      </c>
      <c r="F16">
        <v>15.016</v>
      </c>
      <c r="G16">
        <v>0</v>
      </c>
    </row>
    <row r="17" spans="1:7">
      <c r="A17" s="3">
        <f t="shared" si="0"/>
        <v>33255</v>
      </c>
      <c r="B17">
        <v>1991</v>
      </c>
      <c r="C17">
        <v>17</v>
      </c>
      <c r="D17">
        <v>29.2</v>
      </c>
      <c r="E17">
        <v>22.6</v>
      </c>
      <c r="F17">
        <v>12.304</v>
      </c>
      <c r="G17">
        <v>0.4</v>
      </c>
    </row>
    <row r="18" spans="1:7">
      <c r="A18" s="3">
        <f t="shared" si="0"/>
        <v>33256</v>
      </c>
      <c r="B18">
        <v>1991</v>
      </c>
      <c r="C18">
        <v>18</v>
      </c>
      <c r="D18">
        <v>27</v>
      </c>
      <c r="E18">
        <v>20.2</v>
      </c>
      <c r="F18">
        <v>20.49</v>
      </c>
      <c r="G18">
        <v>27</v>
      </c>
    </row>
    <row r="19" spans="1:7">
      <c r="A19" s="3">
        <f t="shared" si="0"/>
        <v>33257</v>
      </c>
      <c r="B19">
        <v>1991</v>
      </c>
      <c r="C19">
        <v>19</v>
      </c>
      <c r="D19">
        <v>36</v>
      </c>
      <c r="E19">
        <v>18.8</v>
      </c>
      <c r="F19">
        <v>32.116</v>
      </c>
      <c r="G19">
        <v>0.5</v>
      </c>
    </row>
    <row r="20" spans="1:7">
      <c r="A20" s="3">
        <f t="shared" si="0"/>
        <v>33258</v>
      </c>
      <c r="B20">
        <v>1991</v>
      </c>
      <c r="C20">
        <v>20</v>
      </c>
      <c r="D20">
        <v>35.200000000000003</v>
      </c>
      <c r="E20">
        <v>23</v>
      </c>
      <c r="F20">
        <v>20.393000000000001</v>
      </c>
      <c r="G20">
        <v>0</v>
      </c>
    </row>
    <row r="21" spans="1:7">
      <c r="A21" s="3">
        <f t="shared" si="0"/>
        <v>33259</v>
      </c>
      <c r="B21">
        <v>1991</v>
      </c>
      <c r="C21">
        <v>21</v>
      </c>
      <c r="D21">
        <v>35.5</v>
      </c>
      <c r="E21">
        <v>21.2</v>
      </c>
      <c r="F21">
        <v>32.890999999999998</v>
      </c>
      <c r="G21">
        <v>10.1</v>
      </c>
    </row>
    <row r="22" spans="1:7">
      <c r="A22" s="3">
        <f t="shared" si="0"/>
        <v>33260</v>
      </c>
      <c r="B22">
        <v>1991</v>
      </c>
      <c r="C22">
        <v>22</v>
      </c>
      <c r="D22">
        <v>35.6</v>
      </c>
      <c r="E22">
        <v>20</v>
      </c>
      <c r="F22">
        <v>32.213000000000001</v>
      </c>
      <c r="G22">
        <v>0</v>
      </c>
    </row>
    <row r="23" spans="1:7">
      <c r="A23" s="3">
        <f t="shared" si="0"/>
        <v>33261</v>
      </c>
      <c r="B23">
        <v>1991</v>
      </c>
      <c r="C23">
        <v>23</v>
      </c>
      <c r="D23">
        <v>32</v>
      </c>
      <c r="E23">
        <v>23.9</v>
      </c>
      <c r="F23">
        <v>19.085000000000001</v>
      </c>
      <c r="G23">
        <v>2.4</v>
      </c>
    </row>
    <row r="24" spans="1:7">
      <c r="A24" s="3">
        <f t="shared" si="0"/>
        <v>33262</v>
      </c>
      <c r="B24">
        <v>1991</v>
      </c>
      <c r="C24">
        <v>24</v>
      </c>
      <c r="D24">
        <v>33</v>
      </c>
      <c r="E24">
        <v>25</v>
      </c>
      <c r="F24">
        <v>19.812000000000001</v>
      </c>
      <c r="G24">
        <v>0.1</v>
      </c>
    </row>
    <row r="25" spans="1:7">
      <c r="A25" s="3">
        <f t="shared" si="0"/>
        <v>33263</v>
      </c>
      <c r="B25">
        <v>1991</v>
      </c>
      <c r="C25">
        <v>25</v>
      </c>
      <c r="D25">
        <v>34.5</v>
      </c>
      <c r="E25">
        <v>24</v>
      </c>
      <c r="F25">
        <v>22.815000000000001</v>
      </c>
      <c r="G25">
        <v>8.4</v>
      </c>
    </row>
    <row r="26" spans="1:7">
      <c r="A26" s="3">
        <f t="shared" si="0"/>
        <v>33264</v>
      </c>
      <c r="B26">
        <v>1991</v>
      </c>
      <c r="C26">
        <v>26</v>
      </c>
      <c r="D26">
        <v>31.5</v>
      </c>
      <c r="E26">
        <v>25</v>
      </c>
      <c r="F26">
        <v>21.797999999999998</v>
      </c>
      <c r="G26">
        <v>0.1</v>
      </c>
    </row>
    <row r="27" spans="1:7">
      <c r="A27" s="3">
        <f t="shared" si="0"/>
        <v>33265</v>
      </c>
      <c r="B27">
        <v>1991</v>
      </c>
      <c r="C27">
        <v>27</v>
      </c>
      <c r="D27">
        <v>33.700000000000003</v>
      </c>
      <c r="E27">
        <v>23</v>
      </c>
      <c r="F27">
        <v>19.279</v>
      </c>
      <c r="G27">
        <v>53.8</v>
      </c>
    </row>
    <row r="28" spans="1:7">
      <c r="A28" s="3">
        <f t="shared" si="0"/>
        <v>33266</v>
      </c>
      <c r="B28">
        <v>1991</v>
      </c>
      <c r="C28">
        <v>28</v>
      </c>
      <c r="D28">
        <v>27.9</v>
      </c>
      <c r="E28">
        <v>21.2</v>
      </c>
      <c r="F28">
        <v>23.396999999999998</v>
      </c>
      <c r="G28">
        <v>4.2</v>
      </c>
    </row>
    <row r="29" spans="1:7">
      <c r="A29" s="3">
        <f t="shared" si="0"/>
        <v>33267</v>
      </c>
      <c r="B29">
        <v>1991</v>
      </c>
      <c r="C29">
        <v>29</v>
      </c>
      <c r="D29">
        <v>35.200000000000003</v>
      </c>
      <c r="E29">
        <v>18.899999999999999</v>
      </c>
      <c r="F29">
        <v>18.02</v>
      </c>
      <c r="G29">
        <v>0.1</v>
      </c>
    </row>
    <row r="30" spans="1:7">
      <c r="A30" s="3">
        <f t="shared" si="0"/>
        <v>33268</v>
      </c>
      <c r="B30">
        <v>1991</v>
      </c>
      <c r="C30">
        <v>30</v>
      </c>
      <c r="D30">
        <v>30.4</v>
      </c>
      <c r="E30">
        <v>21.5</v>
      </c>
      <c r="F30">
        <v>36.088000000000001</v>
      </c>
      <c r="G30">
        <v>0</v>
      </c>
    </row>
    <row r="31" spans="1:7">
      <c r="A31" s="3">
        <f t="shared" si="0"/>
        <v>33269</v>
      </c>
      <c r="B31">
        <v>1991</v>
      </c>
      <c r="C31">
        <v>31</v>
      </c>
      <c r="D31">
        <v>32</v>
      </c>
      <c r="E31">
        <v>18.600000000000001</v>
      </c>
      <c r="F31">
        <v>21.216999999999999</v>
      </c>
      <c r="G31">
        <v>0</v>
      </c>
    </row>
    <row r="32" spans="1:7">
      <c r="A32" s="3">
        <f t="shared" si="0"/>
        <v>33270</v>
      </c>
      <c r="B32">
        <v>1991</v>
      </c>
      <c r="C32">
        <v>32</v>
      </c>
      <c r="D32">
        <v>35</v>
      </c>
      <c r="E32">
        <v>18.399999999999999</v>
      </c>
      <c r="F32">
        <v>35.021999999999998</v>
      </c>
      <c r="G32">
        <v>0</v>
      </c>
    </row>
    <row r="33" spans="1:7">
      <c r="A33" s="3">
        <f t="shared" si="0"/>
        <v>33271</v>
      </c>
      <c r="B33">
        <v>1991</v>
      </c>
      <c r="C33">
        <v>33</v>
      </c>
      <c r="D33">
        <v>30.9</v>
      </c>
      <c r="E33">
        <v>21.5</v>
      </c>
      <c r="F33">
        <v>36.088000000000001</v>
      </c>
      <c r="G33">
        <v>0</v>
      </c>
    </row>
    <row r="34" spans="1:7">
      <c r="A34" s="3">
        <f t="shared" si="0"/>
        <v>33272</v>
      </c>
      <c r="B34">
        <v>1991</v>
      </c>
      <c r="C34">
        <v>34</v>
      </c>
      <c r="D34">
        <v>29.7</v>
      </c>
      <c r="E34">
        <v>18.3</v>
      </c>
      <c r="F34">
        <v>31.001999999999999</v>
      </c>
      <c r="G34">
        <v>0</v>
      </c>
    </row>
    <row r="35" spans="1:7">
      <c r="A35" s="3">
        <f t="shared" si="0"/>
        <v>33273</v>
      </c>
      <c r="B35">
        <v>1991</v>
      </c>
      <c r="C35">
        <v>35</v>
      </c>
      <c r="D35">
        <v>31.2</v>
      </c>
      <c r="E35">
        <v>17.399999999999999</v>
      </c>
      <c r="F35">
        <v>28.919</v>
      </c>
      <c r="G35">
        <v>0</v>
      </c>
    </row>
    <row r="36" spans="1:7">
      <c r="A36" s="3">
        <f t="shared" si="0"/>
        <v>33274</v>
      </c>
      <c r="B36">
        <v>1991</v>
      </c>
      <c r="C36">
        <v>36</v>
      </c>
      <c r="D36">
        <v>30.7</v>
      </c>
      <c r="E36">
        <v>18.3</v>
      </c>
      <c r="F36">
        <v>30.274999999999999</v>
      </c>
      <c r="G36">
        <v>0</v>
      </c>
    </row>
    <row r="37" spans="1:7">
      <c r="A37" s="3">
        <f t="shared" si="0"/>
        <v>33275</v>
      </c>
      <c r="B37">
        <v>1991</v>
      </c>
      <c r="C37">
        <v>37</v>
      </c>
      <c r="D37">
        <v>28</v>
      </c>
      <c r="E37">
        <v>21.6</v>
      </c>
      <c r="F37">
        <v>22.815000000000001</v>
      </c>
      <c r="G37">
        <v>0</v>
      </c>
    </row>
    <row r="38" spans="1:7">
      <c r="A38" s="3">
        <f t="shared" si="0"/>
        <v>33276</v>
      </c>
      <c r="B38">
        <v>1991</v>
      </c>
      <c r="C38">
        <v>38</v>
      </c>
      <c r="D38">
        <v>33.9</v>
      </c>
      <c r="E38">
        <v>22.6</v>
      </c>
      <c r="F38">
        <v>11.19</v>
      </c>
      <c r="G38">
        <v>22.5</v>
      </c>
    </row>
    <row r="39" spans="1:7">
      <c r="A39" s="3">
        <f t="shared" si="0"/>
        <v>33277</v>
      </c>
      <c r="B39">
        <v>1991</v>
      </c>
      <c r="C39">
        <v>39</v>
      </c>
      <c r="D39">
        <v>32.700000000000003</v>
      </c>
      <c r="E39">
        <v>23.5</v>
      </c>
      <c r="F39">
        <v>24.510999999999999</v>
      </c>
      <c r="G39">
        <v>17.2</v>
      </c>
    </row>
    <row r="40" spans="1:7">
      <c r="A40" s="3">
        <f t="shared" si="0"/>
        <v>33278</v>
      </c>
      <c r="B40">
        <v>1991</v>
      </c>
      <c r="C40">
        <v>40</v>
      </c>
      <c r="D40">
        <v>27.7</v>
      </c>
      <c r="E40">
        <v>22.9</v>
      </c>
      <c r="F40">
        <v>18.359000000000002</v>
      </c>
      <c r="G40">
        <v>15.4</v>
      </c>
    </row>
    <row r="41" spans="1:7">
      <c r="A41" s="3">
        <f t="shared" si="0"/>
        <v>33279</v>
      </c>
      <c r="B41">
        <v>1991</v>
      </c>
      <c r="C41">
        <v>41</v>
      </c>
      <c r="D41">
        <v>35</v>
      </c>
      <c r="E41">
        <v>21.8</v>
      </c>
      <c r="F41">
        <v>12.304</v>
      </c>
      <c r="G41">
        <v>80.8</v>
      </c>
    </row>
    <row r="42" spans="1:7">
      <c r="A42" s="3">
        <f t="shared" si="0"/>
        <v>33280</v>
      </c>
      <c r="B42">
        <v>1991</v>
      </c>
      <c r="C42">
        <v>42</v>
      </c>
      <c r="D42">
        <v>32.700000000000003</v>
      </c>
      <c r="E42">
        <v>21.6</v>
      </c>
      <c r="F42">
        <v>33.180999999999997</v>
      </c>
      <c r="G42">
        <v>0.1</v>
      </c>
    </row>
    <row r="43" spans="1:7">
      <c r="A43" s="3">
        <f t="shared" si="0"/>
        <v>33281</v>
      </c>
      <c r="B43">
        <v>1991</v>
      </c>
      <c r="C43">
        <v>43</v>
      </c>
      <c r="D43">
        <v>30.4</v>
      </c>
      <c r="E43">
        <v>21.4</v>
      </c>
      <c r="F43">
        <v>33.180999999999997</v>
      </c>
      <c r="G43">
        <v>0</v>
      </c>
    </row>
    <row r="44" spans="1:7">
      <c r="A44" s="3">
        <f t="shared" si="0"/>
        <v>33282</v>
      </c>
      <c r="B44">
        <v>1991</v>
      </c>
      <c r="C44">
        <v>44</v>
      </c>
      <c r="D44">
        <v>32.1</v>
      </c>
      <c r="E44">
        <v>22</v>
      </c>
      <c r="F44">
        <v>29.209</v>
      </c>
      <c r="G44">
        <v>0</v>
      </c>
    </row>
    <row r="45" spans="1:7">
      <c r="A45" s="3">
        <f t="shared" si="0"/>
        <v>33283</v>
      </c>
      <c r="B45">
        <v>1991</v>
      </c>
      <c r="C45">
        <v>45</v>
      </c>
      <c r="D45">
        <v>32.700000000000003</v>
      </c>
      <c r="E45">
        <v>20.7</v>
      </c>
      <c r="F45">
        <v>24.800999999999998</v>
      </c>
      <c r="G45">
        <v>0</v>
      </c>
    </row>
    <row r="46" spans="1:7">
      <c r="A46" s="3">
        <f t="shared" si="0"/>
        <v>33284</v>
      </c>
      <c r="B46">
        <v>1991</v>
      </c>
      <c r="C46">
        <v>46</v>
      </c>
      <c r="D46">
        <v>31.9</v>
      </c>
      <c r="E46">
        <v>19.5</v>
      </c>
      <c r="F46">
        <v>26.109000000000002</v>
      </c>
      <c r="G46">
        <v>0</v>
      </c>
    </row>
    <row r="47" spans="1:7">
      <c r="A47" s="3">
        <f t="shared" si="0"/>
        <v>33285</v>
      </c>
      <c r="B47">
        <v>1991</v>
      </c>
      <c r="C47">
        <v>47</v>
      </c>
      <c r="D47">
        <v>35.6</v>
      </c>
      <c r="E47">
        <v>19</v>
      </c>
      <c r="F47">
        <v>26.497</v>
      </c>
      <c r="G47">
        <v>0</v>
      </c>
    </row>
    <row r="48" spans="1:7">
      <c r="A48" s="3">
        <f t="shared" si="0"/>
        <v>33286</v>
      </c>
      <c r="B48">
        <v>1991</v>
      </c>
      <c r="C48">
        <v>48</v>
      </c>
      <c r="D48">
        <v>29</v>
      </c>
      <c r="E48">
        <v>21.3</v>
      </c>
      <c r="F48">
        <v>30.808</v>
      </c>
      <c r="G48">
        <v>0</v>
      </c>
    </row>
    <row r="49" spans="1:7">
      <c r="A49" s="3">
        <f t="shared" si="0"/>
        <v>33287</v>
      </c>
      <c r="B49">
        <v>1991</v>
      </c>
      <c r="C49">
        <v>49</v>
      </c>
      <c r="D49">
        <v>27.7</v>
      </c>
      <c r="E49">
        <v>22.1</v>
      </c>
      <c r="F49">
        <v>11.287000000000001</v>
      </c>
      <c r="G49">
        <v>0</v>
      </c>
    </row>
    <row r="50" spans="1:7">
      <c r="A50" s="3">
        <f t="shared" si="0"/>
        <v>33288</v>
      </c>
      <c r="B50">
        <v>1991</v>
      </c>
      <c r="C50">
        <v>50</v>
      </c>
      <c r="D50">
        <v>30.4</v>
      </c>
      <c r="E50">
        <v>17.600000000000001</v>
      </c>
      <c r="F50">
        <v>15.888</v>
      </c>
      <c r="G50">
        <v>31.7</v>
      </c>
    </row>
    <row r="51" spans="1:7">
      <c r="A51" s="3">
        <f t="shared" si="0"/>
        <v>33289</v>
      </c>
      <c r="B51">
        <v>1991</v>
      </c>
      <c r="C51">
        <v>51</v>
      </c>
      <c r="D51">
        <v>30</v>
      </c>
      <c r="E51">
        <v>17.2</v>
      </c>
      <c r="F51">
        <v>31.388999999999999</v>
      </c>
      <c r="G51">
        <v>0</v>
      </c>
    </row>
    <row r="52" spans="1:7">
      <c r="A52" s="3">
        <f t="shared" si="0"/>
        <v>33290</v>
      </c>
      <c r="B52">
        <v>1991</v>
      </c>
      <c r="C52">
        <v>52</v>
      </c>
      <c r="D52">
        <v>29.8</v>
      </c>
      <c r="E52">
        <v>15</v>
      </c>
      <c r="F52">
        <v>31.777000000000001</v>
      </c>
      <c r="G52">
        <v>0</v>
      </c>
    </row>
    <row r="53" spans="1:7">
      <c r="A53" s="3">
        <f t="shared" si="0"/>
        <v>33291</v>
      </c>
      <c r="B53">
        <v>1991</v>
      </c>
      <c r="C53">
        <v>53</v>
      </c>
      <c r="D53">
        <v>31.3</v>
      </c>
      <c r="E53">
        <v>16.100000000000001</v>
      </c>
      <c r="F53">
        <v>25.576000000000001</v>
      </c>
      <c r="G53">
        <v>0</v>
      </c>
    </row>
    <row r="54" spans="1:7">
      <c r="A54" s="3">
        <f t="shared" si="0"/>
        <v>33292</v>
      </c>
      <c r="B54">
        <v>1991</v>
      </c>
      <c r="C54">
        <v>54</v>
      </c>
      <c r="D54">
        <v>30.2</v>
      </c>
      <c r="E54">
        <v>15.4</v>
      </c>
      <c r="F54">
        <v>26.981000000000002</v>
      </c>
      <c r="G54">
        <v>0</v>
      </c>
    </row>
    <row r="55" spans="1:7">
      <c r="A55" s="3">
        <f t="shared" si="0"/>
        <v>33293</v>
      </c>
      <c r="B55">
        <v>1991</v>
      </c>
      <c r="C55">
        <v>55</v>
      </c>
      <c r="D55">
        <v>27.6</v>
      </c>
      <c r="E55">
        <v>16.2</v>
      </c>
      <c r="F55">
        <v>27.513999999999999</v>
      </c>
      <c r="G55">
        <v>0.3</v>
      </c>
    </row>
    <row r="56" spans="1:7">
      <c r="A56" s="3">
        <f t="shared" si="0"/>
        <v>33294</v>
      </c>
      <c r="B56">
        <v>1991</v>
      </c>
      <c r="C56">
        <v>56</v>
      </c>
      <c r="D56">
        <v>30.7</v>
      </c>
      <c r="E56">
        <v>17</v>
      </c>
      <c r="F56">
        <v>16.905999999999999</v>
      </c>
      <c r="G56">
        <v>53.3</v>
      </c>
    </row>
    <row r="57" spans="1:7">
      <c r="A57" s="3">
        <f t="shared" si="0"/>
        <v>33295</v>
      </c>
      <c r="B57">
        <v>1991</v>
      </c>
      <c r="C57">
        <v>57</v>
      </c>
      <c r="D57">
        <v>30.5</v>
      </c>
      <c r="E57">
        <v>18.399999999999999</v>
      </c>
      <c r="F57">
        <v>27.513999999999999</v>
      </c>
      <c r="G57">
        <v>11.2</v>
      </c>
    </row>
    <row r="58" spans="1:7">
      <c r="A58" s="3">
        <f t="shared" si="0"/>
        <v>33296</v>
      </c>
      <c r="B58">
        <v>1991</v>
      </c>
      <c r="C58">
        <v>58</v>
      </c>
      <c r="D58">
        <v>31.2</v>
      </c>
      <c r="E58">
        <v>17.2</v>
      </c>
      <c r="F58">
        <v>26.303000000000001</v>
      </c>
      <c r="G58">
        <v>0</v>
      </c>
    </row>
    <row r="59" spans="1:7">
      <c r="A59" s="3">
        <f t="shared" si="0"/>
        <v>33297</v>
      </c>
      <c r="B59">
        <v>1991</v>
      </c>
      <c r="C59">
        <v>59</v>
      </c>
      <c r="D59">
        <v>28.2</v>
      </c>
      <c r="E59">
        <v>16</v>
      </c>
      <c r="F59">
        <v>27.611000000000001</v>
      </c>
      <c r="G59">
        <v>0</v>
      </c>
    </row>
    <row r="60" spans="1:7">
      <c r="A60" s="3">
        <f t="shared" si="0"/>
        <v>33298</v>
      </c>
      <c r="B60">
        <v>1991</v>
      </c>
      <c r="C60">
        <v>60</v>
      </c>
      <c r="D60">
        <v>33.799999999999997</v>
      </c>
      <c r="E60">
        <v>18.600000000000001</v>
      </c>
      <c r="F60">
        <v>14.387</v>
      </c>
      <c r="G60">
        <v>0</v>
      </c>
    </row>
    <row r="61" spans="1:7">
      <c r="A61" s="3">
        <f t="shared" si="0"/>
        <v>33299</v>
      </c>
      <c r="B61">
        <v>1991</v>
      </c>
      <c r="C61">
        <v>61</v>
      </c>
      <c r="D61">
        <v>25.1</v>
      </c>
      <c r="E61">
        <v>22.4</v>
      </c>
      <c r="F61">
        <v>28.094999999999999</v>
      </c>
      <c r="G61">
        <v>0</v>
      </c>
    </row>
    <row r="62" spans="1:7">
      <c r="A62" s="3">
        <f t="shared" si="0"/>
        <v>33300</v>
      </c>
      <c r="B62">
        <v>1991</v>
      </c>
      <c r="C62">
        <v>62</v>
      </c>
      <c r="D62">
        <v>25.3</v>
      </c>
      <c r="E62">
        <v>16.2</v>
      </c>
      <c r="F62">
        <v>15.21</v>
      </c>
      <c r="G62">
        <v>0</v>
      </c>
    </row>
    <row r="63" spans="1:7">
      <c r="A63" s="3">
        <f t="shared" si="0"/>
        <v>33301</v>
      </c>
      <c r="B63">
        <v>1991</v>
      </c>
      <c r="C63">
        <v>63</v>
      </c>
      <c r="D63">
        <v>27.1</v>
      </c>
      <c r="E63">
        <v>19.100000000000001</v>
      </c>
      <c r="F63">
        <v>17.196000000000002</v>
      </c>
      <c r="G63">
        <v>15.2</v>
      </c>
    </row>
    <row r="64" spans="1:7">
      <c r="A64" s="3">
        <f t="shared" si="0"/>
        <v>33302</v>
      </c>
      <c r="B64">
        <v>1991</v>
      </c>
      <c r="C64">
        <v>64</v>
      </c>
      <c r="D64">
        <v>30</v>
      </c>
      <c r="E64">
        <v>16.2</v>
      </c>
      <c r="F64">
        <v>16.905999999999999</v>
      </c>
      <c r="G64">
        <v>0</v>
      </c>
    </row>
    <row r="65" spans="1:7">
      <c r="A65" s="3">
        <f t="shared" si="0"/>
        <v>33303</v>
      </c>
      <c r="B65">
        <v>1991</v>
      </c>
      <c r="C65">
        <v>65</v>
      </c>
      <c r="D65">
        <v>30.3</v>
      </c>
      <c r="E65">
        <v>14.8</v>
      </c>
      <c r="F65">
        <v>24.800999999999998</v>
      </c>
      <c r="G65">
        <v>0</v>
      </c>
    </row>
    <row r="66" spans="1:7">
      <c r="A66" s="3">
        <f t="shared" ref="A66:A129" si="1">DATE(B66,1,1)+C66-1</f>
        <v>33304</v>
      </c>
      <c r="B66">
        <v>1991</v>
      </c>
      <c r="C66">
        <v>66</v>
      </c>
      <c r="D66">
        <v>29.1</v>
      </c>
      <c r="E66">
        <v>18.600000000000001</v>
      </c>
      <c r="F66">
        <v>25.189</v>
      </c>
      <c r="G66">
        <v>0.3</v>
      </c>
    </row>
    <row r="67" spans="1:7">
      <c r="A67" s="3">
        <f t="shared" si="1"/>
        <v>33305</v>
      </c>
      <c r="B67">
        <v>1991</v>
      </c>
      <c r="C67">
        <v>67</v>
      </c>
      <c r="D67">
        <v>29.1</v>
      </c>
      <c r="E67">
        <v>18</v>
      </c>
      <c r="F67">
        <v>19.085000000000001</v>
      </c>
      <c r="G67">
        <v>0.6</v>
      </c>
    </row>
    <row r="68" spans="1:7">
      <c r="A68" s="3">
        <f t="shared" si="1"/>
        <v>33306</v>
      </c>
      <c r="B68">
        <v>1991</v>
      </c>
      <c r="C68">
        <v>68</v>
      </c>
      <c r="D68">
        <v>29.4</v>
      </c>
      <c r="E68">
        <v>16.399999999999999</v>
      </c>
      <c r="F68">
        <v>20.975000000000001</v>
      </c>
      <c r="G68">
        <v>60.1</v>
      </c>
    </row>
    <row r="69" spans="1:7">
      <c r="A69" s="3">
        <f t="shared" si="1"/>
        <v>33307</v>
      </c>
      <c r="B69">
        <v>1991</v>
      </c>
      <c r="C69">
        <v>69</v>
      </c>
      <c r="D69">
        <v>29.5</v>
      </c>
      <c r="E69">
        <v>14.5</v>
      </c>
      <c r="F69">
        <v>18.504000000000001</v>
      </c>
      <c r="G69">
        <v>0</v>
      </c>
    </row>
    <row r="70" spans="1:7">
      <c r="A70" s="3">
        <f t="shared" si="1"/>
        <v>33308</v>
      </c>
      <c r="B70">
        <v>1991</v>
      </c>
      <c r="C70">
        <v>70</v>
      </c>
      <c r="D70">
        <v>30.8</v>
      </c>
      <c r="E70">
        <v>16.5</v>
      </c>
      <c r="F70">
        <v>24.414000000000001</v>
      </c>
      <c r="G70">
        <v>0</v>
      </c>
    </row>
    <row r="71" spans="1:7">
      <c r="A71" s="3">
        <f t="shared" si="1"/>
        <v>33309</v>
      </c>
      <c r="B71">
        <v>1991</v>
      </c>
      <c r="C71">
        <v>71</v>
      </c>
      <c r="D71">
        <v>33.5</v>
      </c>
      <c r="E71">
        <v>14.6</v>
      </c>
      <c r="F71">
        <v>26.012</v>
      </c>
      <c r="G71">
        <v>0</v>
      </c>
    </row>
    <row r="72" spans="1:7">
      <c r="A72" s="3">
        <f t="shared" si="1"/>
        <v>33310</v>
      </c>
      <c r="B72">
        <v>1991</v>
      </c>
      <c r="C72">
        <v>72</v>
      </c>
      <c r="D72">
        <v>29.2</v>
      </c>
      <c r="E72">
        <v>19.8</v>
      </c>
      <c r="F72">
        <v>27.222999999999999</v>
      </c>
      <c r="G72">
        <v>0</v>
      </c>
    </row>
    <row r="73" spans="1:7">
      <c r="A73" s="3">
        <f t="shared" si="1"/>
        <v>33311</v>
      </c>
      <c r="B73">
        <v>1991</v>
      </c>
      <c r="C73">
        <v>73</v>
      </c>
      <c r="D73">
        <v>30</v>
      </c>
      <c r="E73">
        <v>17</v>
      </c>
      <c r="F73">
        <v>21.216999999999999</v>
      </c>
      <c r="G73">
        <v>0</v>
      </c>
    </row>
    <row r="74" spans="1:7">
      <c r="A74" s="3">
        <f t="shared" si="1"/>
        <v>33312</v>
      </c>
      <c r="B74">
        <v>1991</v>
      </c>
      <c r="C74">
        <v>74</v>
      </c>
      <c r="D74">
        <v>29.2</v>
      </c>
      <c r="E74">
        <v>14</v>
      </c>
      <c r="F74">
        <v>21.895</v>
      </c>
      <c r="G74">
        <v>0</v>
      </c>
    </row>
    <row r="75" spans="1:7">
      <c r="A75" s="3">
        <f t="shared" si="1"/>
        <v>33313</v>
      </c>
      <c r="B75">
        <v>1991</v>
      </c>
      <c r="C75">
        <v>75</v>
      </c>
      <c r="D75">
        <v>30.5</v>
      </c>
      <c r="E75">
        <v>15.4</v>
      </c>
      <c r="F75">
        <v>26.594000000000001</v>
      </c>
      <c r="G75">
        <v>0</v>
      </c>
    </row>
    <row r="76" spans="1:7">
      <c r="A76" s="3">
        <f t="shared" si="1"/>
        <v>33314</v>
      </c>
      <c r="B76">
        <v>1991</v>
      </c>
      <c r="C76">
        <v>76</v>
      </c>
      <c r="D76">
        <v>31.9</v>
      </c>
      <c r="E76">
        <v>14.6</v>
      </c>
      <c r="F76">
        <v>25.963999999999999</v>
      </c>
      <c r="G76">
        <v>0</v>
      </c>
    </row>
    <row r="77" spans="1:7">
      <c r="A77" s="3">
        <f t="shared" si="1"/>
        <v>33315</v>
      </c>
      <c r="B77">
        <v>1991</v>
      </c>
      <c r="C77">
        <v>77</v>
      </c>
      <c r="D77">
        <v>31.5</v>
      </c>
      <c r="E77">
        <v>14.7</v>
      </c>
      <c r="F77">
        <v>30.178000000000001</v>
      </c>
      <c r="G77">
        <v>0</v>
      </c>
    </row>
    <row r="78" spans="1:7">
      <c r="A78" s="3">
        <f t="shared" si="1"/>
        <v>33316</v>
      </c>
      <c r="B78">
        <v>1991</v>
      </c>
      <c r="C78">
        <v>78</v>
      </c>
      <c r="D78">
        <v>31.6</v>
      </c>
      <c r="E78">
        <v>15</v>
      </c>
      <c r="F78">
        <v>29.015999999999998</v>
      </c>
      <c r="G78">
        <v>0</v>
      </c>
    </row>
    <row r="79" spans="1:7">
      <c r="A79" s="3">
        <f t="shared" si="1"/>
        <v>33317</v>
      </c>
      <c r="B79">
        <v>1991</v>
      </c>
      <c r="C79">
        <v>79</v>
      </c>
      <c r="D79">
        <v>31.7</v>
      </c>
      <c r="E79">
        <v>15.5</v>
      </c>
      <c r="F79">
        <v>28.919</v>
      </c>
      <c r="G79">
        <v>0</v>
      </c>
    </row>
    <row r="80" spans="1:7">
      <c r="A80" s="3">
        <f t="shared" si="1"/>
        <v>33318</v>
      </c>
      <c r="B80">
        <v>1991</v>
      </c>
      <c r="C80">
        <v>80</v>
      </c>
      <c r="D80">
        <v>32.1</v>
      </c>
      <c r="E80">
        <v>16.100000000000001</v>
      </c>
      <c r="F80">
        <v>27.805</v>
      </c>
      <c r="G80">
        <v>0</v>
      </c>
    </row>
    <row r="81" spans="1:7">
      <c r="A81" s="3">
        <f t="shared" si="1"/>
        <v>33319</v>
      </c>
      <c r="B81">
        <v>1991</v>
      </c>
      <c r="C81">
        <v>81</v>
      </c>
      <c r="D81">
        <v>34.1</v>
      </c>
      <c r="E81">
        <v>17.7</v>
      </c>
      <c r="F81">
        <v>29.209</v>
      </c>
      <c r="G81">
        <v>0</v>
      </c>
    </row>
    <row r="82" spans="1:7">
      <c r="A82" s="3">
        <f t="shared" si="1"/>
        <v>33320</v>
      </c>
      <c r="B82">
        <v>1991</v>
      </c>
      <c r="C82">
        <v>82</v>
      </c>
      <c r="D82">
        <v>33.200000000000003</v>
      </c>
      <c r="E82">
        <v>16.7</v>
      </c>
      <c r="F82">
        <v>25.382999999999999</v>
      </c>
      <c r="G82">
        <v>0</v>
      </c>
    </row>
    <row r="83" spans="1:7">
      <c r="A83" s="3">
        <f t="shared" si="1"/>
        <v>33321</v>
      </c>
      <c r="B83">
        <v>1991</v>
      </c>
      <c r="C83">
        <v>83</v>
      </c>
      <c r="D83">
        <v>29.6</v>
      </c>
      <c r="E83">
        <v>11.4</v>
      </c>
      <c r="F83">
        <v>29.306000000000001</v>
      </c>
      <c r="G83">
        <v>0</v>
      </c>
    </row>
    <row r="84" spans="1:7">
      <c r="A84" s="3">
        <f t="shared" si="1"/>
        <v>33322</v>
      </c>
      <c r="B84">
        <v>1991</v>
      </c>
      <c r="C84">
        <v>84</v>
      </c>
      <c r="D84">
        <v>35.4</v>
      </c>
      <c r="E84">
        <v>17.399999999999999</v>
      </c>
      <c r="F84">
        <v>26.981000000000002</v>
      </c>
      <c r="G84">
        <v>0</v>
      </c>
    </row>
    <row r="85" spans="1:7">
      <c r="A85" s="3">
        <f t="shared" si="1"/>
        <v>33323</v>
      </c>
      <c r="B85">
        <v>1991</v>
      </c>
      <c r="C85">
        <v>85</v>
      </c>
      <c r="D85">
        <v>37</v>
      </c>
      <c r="E85">
        <v>13.5</v>
      </c>
      <c r="F85">
        <v>22.815000000000001</v>
      </c>
      <c r="G85">
        <v>0</v>
      </c>
    </row>
    <row r="86" spans="1:7">
      <c r="A86" s="3">
        <f t="shared" si="1"/>
        <v>33324</v>
      </c>
      <c r="B86">
        <v>1991</v>
      </c>
      <c r="C86">
        <v>86</v>
      </c>
      <c r="D86">
        <v>37.6</v>
      </c>
      <c r="E86">
        <v>12.9</v>
      </c>
      <c r="F86">
        <v>27.707999999999998</v>
      </c>
      <c r="G86">
        <v>0</v>
      </c>
    </row>
    <row r="87" spans="1:7">
      <c r="A87" s="3">
        <f t="shared" si="1"/>
        <v>33325</v>
      </c>
      <c r="B87">
        <v>1991</v>
      </c>
      <c r="C87">
        <v>87</v>
      </c>
      <c r="D87">
        <v>32.700000000000003</v>
      </c>
      <c r="E87">
        <v>17</v>
      </c>
      <c r="F87">
        <v>24.704000000000001</v>
      </c>
      <c r="G87">
        <v>0</v>
      </c>
    </row>
    <row r="88" spans="1:7">
      <c r="A88" s="3">
        <f t="shared" si="1"/>
        <v>33326</v>
      </c>
      <c r="B88">
        <v>1991</v>
      </c>
      <c r="C88">
        <v>88</v>
      </c>
      <c r="D88">
        <v>30.7</v>
      </c>
      <c r="E88">
        <v>18.3</v>
      </c>
      <c r="F88">
        <v>20.295999999999999</v>
      </c>
      <c r="G88">
        <v>0</v>
      </c>
    </row>
    <row r="89" spans="1:7">
      <c r="A89" s="3">
        <f t="shared" si="1"/>
        <v>33327</v>
      </c>
      <c r="B89">
        <v>1991</v>
      </c>
      <c r="C89">
        <v>89</v>
      </c>
      <c r="D89">
        <v>27.5</v>
      </c>
      <c r="E89">
        <v>17.7</v>
      </c>
      <c r="F89">
        <v>19.279</v>
      </c>
      <c r="G89">
        <v>0</v>
      </c>
    </row>
    <row r="90" spans="1:7">
      <c r="A90" s="3">
        <f t="shared" si="1"/>
        <v>33328</v>
      </c>
      <c r="B90">
        <v>1991</v>
      </c>
      <c r="C90">
        <v>90</v>
      </c>
      <c r="D90">
        <v>30</v>
      </c>
      <c r="E90">
        <v>19.7</v>
      </c>
      <c r="F90">
        <v>12.11</v>
      </c>
      <c r="G90">
        <v>2.2000000000000002</v>
      </c>
    </row>
    <row r="91" spans="1:7">
      <c r="A91" s="3">
        <f t="shared" si="1"/>
        <v>33329</v>
      </c>
      <c r="B91">
        <v>1991</v>
      </c>
      <c r="C91">
        <v>91</v>
      </c>
      <c r="D91">
        <v>33</v>
      </c>
      <c r="E91">
        <v>16</v>
      </c>
      <c r="F91">
        <v>19.617999999999999</v>
      </c>
      <c r="G91">
        <v>0</v>
      </c>
    </row>
    <row r="92" spans="1:7">
      <c r="A92" s="3">
        <f t="shared" si="1"/>
        <v>33330</v>
      </c>
      <c r="B92">
        <v>1991</v>
      </c>
      <c r="C92">
        <v>92</v>
      </c>
      <c r="D92">
        <v>35</v>
      </c>
      <c r="E92">
        <v>13.4</v>
      </c>
      <c r="F92">
        <v>19.279</v>
      </c>
      <c r="G92">
        <v>0.4</v>
      </c>
    </row>
    <row r="93" spans="1:7">
      <c r="A93" s="3">
        <f t="shared" si="1"/>
        <v>33331</v>
      </c>
      <c r="B93">
        <v>1991</v>
      </c>
      <c r="C93">
        <v>93</v>
      </c>
      <c r="D93">
        <v>30</v>
      </c>
      <c r="E93">
        <v>18.7</v>
      </c>
      <c r="F93">
        <v>23.59</v>
      </c>
      <c r="G93">
        <v>0</v>
      </c>
    </row>
    <row r="94" spans="1:7">
      <c r="A94" s="3">
        <f t="shared" si="1"/>
        <v>33332</v>
      </c>
      <c r="B94">
        <v>1991</v>
      </c>
      <c r="C94">
        <v>94</v>
      </c>
      <c r="D94">
        <v>29.1</v>
      </c>
      <c r="E94">
        <v>13.5</v>
      </c>
      <c r="F94">
        <v>22.282</v>
      </c>
      <c r="G94">
        <v>0</v>
      </c>
    </row>
    <row r="95" spans="1:7">
      <c r="A95" s="3">
        <f t="shared" si="1"/>
        <v>33333</v>
      </c>
      <c r="B95">
        <v>1991</v>
      </c>
      <c r="C95">
        <v>95</v>
      </c>
      <c r="D95">
        <v>28.9</v>
      </c>
      <c r="E95">
        <v>12.8</v>
      </c>
      <c r="F95">
        <v>21.41</v>
      </c>
      <c r="G95">
        <v>0</v>
      </c>
    </row>
    <row r="96" spans="1:7">
      <c r="A96" s="3">
        <f t="shared" si="1"/>
        <v>33334</v>
      </c>
      <c r="B96">
        <v>1991</v>
      </c>
      <c r="C96">
        <v>96</v>
      </c>
      <c r="D96">
        <v>29.1</v>
      </c>
      <c r="E96">
        <v>13.7</v>
      </c>
      <c r="F96">
        <v>24.414000000000001</v>
      </c>
      <c r="G96">
        <v>0</v>
      </c>
    </row>
    <row r="97" spans="1:7">
      <c r="A97" s="3">
        <f t="shared" si="1"/>
        <v>33335</v>
      </c>
      <c r="B97">
        <v>1991</v>
      </c>
      <c r="C97">
        <v>97</v>
      </c>
      <c r="D97">
        <v>30.8</v>
      </c>
      <c r="E97">
        <v>13.4</v>
      </c>
      <c r="F97">
        <v>22.282</v>
      </c>
      <c r="G97">
        <v>0</v>
      </c>
    </row>
    <row r="98" spans="1:7">
      <c r="A98" s="3">
        <f t="shared" si="1"/>
        <v>33336</v>
      </c>
      <c r="B98">
        <v>1991</v>
      </c>
      <c r="C98">
        <v>98</v>
      </c>
      <c r="D98">
        <v>28.6</v>
      </c>
      <c r="E98">
        <v>15.1</v>
      </c>
      <c r="F98">
        <v>25.091999999999999</v>
      </c>
      <c r="G98">
        <v>0</v>
      </c>
    </row>
    <row r="99" spans="1:7">
      <c r="A99" s="3">
        <f t="shared" si="1"/>
        <v>33337</v>
      </c>
      <c r="B99">
        <v>1991</v>
      </c>
      <c r="C99">
        <v>99</v>
      </c>
      <c r="D99">
        <v>27</v>
      </c>
      <c r="E99">
        <v>17.2</v>
      </c>
      <c r="F99">
        <v>20.780999999999999</v>
      </c>
      <c r="G99">
        <v>0</v>
      </c>
    </row>
    <row r="100" spans="1:7">
      <c r="A100" s="3">
        <f t="shared" si="1"/>
        <v>33338</v>
      </c>
      <c r="B100">
        <v>1991</v>
      </c>
      <c r="C100">
        <v>100</v>
      </c>
      <c r="D100">
        <v>25.7</v>
      </c>
      <c r="E100">
        <v>14.3</v>
      </c>
      <c r="F100">
        <v>14.29</v>
      </c>
      <c r="G100">
        <v>0</v>
      </c>
    </row>
    <row r="101" spans="1:7">
      <c r="A101" s="3">
        <f t="shared" si="1"/>
        <v>33339</v>
      </c>
      <c r="B101">
        <v>1991</v>
      </c>
      <c r="C101">
        <v>101</v>
      </c>
      <c r="D101">
        <v>27.2</v>
      </c>
      <c r="E101">
        <v>12.6</v>
      </c>
      <c r="F101">
        <v>13.709</v>
      </c>
      <c r="G101">
        <v>0</v>
      </c>
    </row>
    <row r="102" spans="1:7">
      <c r="A102" s="3">
        <f t="shared" si="1"/>
        <v>33340</v>
      </c>
      <c r="B102">
        <v>1991</v>
      </c>
      <c r="C102">
        <v>102</v>
      </c>
      <c r="D102">
        <v>28.3</v>
      </c>
      <c r="E102">
        <v>10.8</v>
      </c>
      <c r="F102">
        <v>19.181999999999999</v>
      </c>
      <c r="G102">
        <v>0</v>
      </c>
    </row>
    <row r="103" spans="1:7">
      <c r="A103" s="3">
        <f t="shared" si="1"/>
        <v>33341</v>
      </c>
      <c r="B103">
        <v>1991</v>
      </c>
      <c r="C103">
        <v>103</v>
      </c>
      <c r="D103">
        <v>27.6</v>
      </c>
      <c r="E103">
        <v>11.6</v>
      </c>
      <c r="F103">
        <v>23.009</v>
      </c>
      <c r="G103">
        <v>7.7</v>
      </c>
    </row>
    <row r="104" spans="1:7">
      <c r="A104" s="3">
        <f t="shared" si="1"/>
        <v>33342</v>
      </c>
      <c r="B104">
        <v>1991</v>
      </c>
      <c r="C104">
        <v>104</v>
      </c>
      <c r="D104">
        <v>28</v>
      </c>
      <c r="E104">
        <v>10.6</v>
      </c>
      <c r="F104">
        <v>21.895</v>
      </c>
      <c r="G104">
        <v>0</v>
      </c>
    </row>
    <row r="105" spans="1:7">
      <c r="A105" s="3">
        <f t="shared" si="1"/>
        <v>33343</v>
      </c>
      <c r="B105">
        <v>1991</v>
      </c>
      <c r="C105">
        <v>105</v>
      </c>
      <c r="D105">
        <v>31</v>
      </c>
      <c r="E105">
        <v>12.4</v>
      </c>
      <c r="F105">
        <v>23.59</v>
      </c>
      <c r="G105">
        <v>0</v>
      </c>
    </row>
    <row r="106" spans="1:7">
      <c r="A106" s="3">
        <f t="shared" si="1"/>
        <v>33344</v>
      </c>
      <c r="B106">
        <v>1991</v>
      </c>
      <c r="C106">
        <v>106</v>
      </c>
      <c r="D106">
        <v>29.2</v>
      </c>
      <c r="E106">
        <v>12.5</v>
      </c>
      <c r="F106">
        <v>16.809000000000001</v>
      </c>
      <c r="G106">
        <v>0</v>
      </c>
    </row>
    <row r="107" spans="1:7">
      <c r="A107" s="3">
        <f t="shared" si="1"/>
        <v>33345</v>
      </c>
      <c r="B107">
        <v>1991</v>
      </c>
      <c r="C107">
        <v>107</v>
      </c>
      <c r="D107">
        <v>28.8</v>
      </c>
      <c r="E107">
        <v>12.5</v>
      </c>
      <c r="F107">
        <v>21.701000000000001</v>
      </c>
      <c r="G107">
        <v>0</v>
      </c>
    </row>
    <row r="108" spans="1:7">
      <c r="A108" s="3">
        <f t="shared" si="1"/>
        <v>33346</v>
      </c>
      <c r="B108">
        <v>1991</v>
      </c>
      <c r="C108">
        <v>108</v>
      </c>
      <c r="D108">
        <v>30.8</v>
      </c>
      <c r="E108">
        <v>11.6</v>
      </c>
      <c r="F108">
        <v>23.59</v>
      </c>
      <c r="G108">
        <v>0</v>
      </c>
    </row>
    <row r="109" spans="1:7">
      <c r="A109" s="3">
        <f t="shared" si="1"/>
        <v>33347</v>
      </c>
      <c r="B109">
        <v>1991</v>
      </c>
      <c r="C109">
        <v>109</v>
      </c>
      <c r="D109">
        <v>29</v>
      </c>
      <c r="E109">
        <v>12.6</v>
      </c>
      <c r="F109">
        <v>23.59</v>
      </c>
      <c r="G109">
        <v>0</v>
      </c>
    </row>
    <row r="110" spans="1:7">
      <c r="A110" s="3">
        <f t="shared" si="1"/>
        <v>33348</v>
      </c>
      <c r="B110">
        <v>1991</v>
      </c>
      <c r="C110">
        <v>110</v>
      </c>
      <c r="D110">
        <v>28.1</v>
      </c>
      <c r="E110">
        <v>12.6</v>
      </c>
      <c r="F110">
        <v>21.216999999999999</v>
      </c>
      <c r="G110">
        <v>0</v>
      </c>
    </row>
    <row r="111" spans="1:7">
      <c r="A111" s="3">
        <f t="shared" si="1"/>
        <v>33349</v>
      </c>
      <c r="B111">
        <v>1991</v>
      </c>
      <c r="C111">
        <v>111</v>
      </c>
      <c r="D111">
        <v>29.8</v>
      </c>
      <c r="E111">
        <v>13.5</v>
      </c>
      <c r="F111">
        <v>19.617999999999999</v>
      </c>
      <c r="G111">
        <v>0</v>
      </c>
    </row>
    <row r="112" spans="1:7">
      <c r="A112" s="3">
        <f t="shared" si="1"/>
        <v>33350</v>
      </c>
      <c r="B112">
        <v>1991</v>
      </c>
      <c r="C112">
        <v>112</v>
      </c>
      <c r="D112">
        <v>30.3</v>
      </c>
      <c r="E112">
        <v>11.4</v>
      </c>
      <c r="F112">
        <v>23.202999999999999</v>
      </c>
      <c r="G112">
        <v>0</v>
      </c>
    </row>
    <row r="113" spans="1:7">
      <c r="A113" s="3">
        <f t="shared" si="1"/>
        <v>33351</v>
      </c>
      <c r="B113">
        <v>1991</v>
      </c>
      <c r="C113">
        <v>113</v>
      </c>
      <c r="D113">
        <v>27.2</v>
      </c>
      <c r="E113">
        <v>12.6</v>
      </c>
      <c r="F113">
        <v>22.815000000000001</v>
      </c>
      <c r="G113">
        <v>0</v>
      </c>
    </row>
    <row r="114" spans="1:7">
      <c r="A114" s="3">
        <f t="shared" si="1"/>
        <v>33352</v>
      </c>
      <c r="B114">
        <v>1991</v>
      </c>
      <c r="C114">
        <v>114</v>
      </c>
      <c r="D114">
        <v>32</v>
      </c>
      <c r="E114">
        <v>11.3</v>
      </c>
      <c r="F114">
        <v>20.975000000000001</v>
      </c>
      <c r="G114">
        <v>0</v>
      </c>
    </row>
    <row r="115" spans="1:7">
      <c r="A115" s="3">
        <f t="shared" si="1"/>
        <v>33353</v>
      </c>
      <c r="B115">
        <v>1991</v>
      </c>
      <c r="C115">
        <v>115</v>
      </c>
      <c r="D115">
        <v>33.5</v>
      </c>
      <c r="E115">
        <v>10.5</v>
      </c>
      <c r="F115">
        <v>20.295999999999999</v>
      </c>
      <c r="G115">
        <v>0</v>
      </c>
    </row>
    <row r="116" spans="1:7">
      <c r="A116" s="3">
        <f t="shared" si="1"/>
        <v>33354</v>
      </c>
      <c r="B116">
        <v>1991</v>
      </c>
      <c r="C116">
        <v>116</v>
      </c>
      <c r="D116">
        <v>26.5</v>
      </c>
      <c r="E116">
        <v>14.2</v>
      </c>
      <c r="F116">
        <v>22.911999999999999</v>
      </c>
      <c r="G116">
        <v>0</v>
      </c>
    </row>
    <row r="117" spans="1:7">
      <c r="A117" s="3">
        <f t="shared" si="1"/>
        <v>33355</v>
      </c>
      <c r="B117">
        <v>1991</v>
      </c>
      <c r="C117">
        <v>117</v>
      </c>
      <c r="D117">
        <v>27.6</v>
      </c>
      <c r="E117">
        <v>11</v>
      </c>
      <c r="F117">
        <v>20.878</v>
      </c>
      <c r="G117">
        <v>0</v>
      </c>
    </row>
    <row r="118" spans="1:7">
      <c r="A118" s="3">
        <f t="shared" si="1"/>
        <v>33356</v>
      </c>
      <c r="B118">
        <v>1991</v>
      </c>
      <c r="C118">
        <v>118</v>
      </c>
      <c r="D118">
        <v>28</v>
      </c>
      <c r="E118">
        <v>10.1</v>
      </c>
      <c r="F118">
        <v>21.895</v>
      </c>
      <c r="G118">
        <v>0</v>
      </c>
    </row>
    <row r="119" spans="1:7">
      <c r="A119" s="3">
        <f t="shared" si="1"/>
        <v>33357</v>
      </c>
      <c r="B119">
        <v>1991</v>
      </c>
      <c r="C119">
        <v>119</v>
      </c>
      <c r="D119">
        <v>26.9</v>
      </c>
      <c r="E119">
        <v>10.3</v>
      </c>
      <c r="F119">
        <v>21.797999999999998</v>
      </c>
      <c r="G119">
        <v>0</v>
      </c>
    </row>
    <row r="120" spans="1:7">
      <c r="A120" s="3">
        <f t="shared" si="1"/>
        <v>33358</v>
      </c>
      <c r="B120">
        <v>1991</v>
      </c>
      <c r="C120">
        <v>120</v>
      </c>
      <c r="D120">
        <v>26.9</v>
      </c>
      <c r="E120">
        <v>9.6999999999999993</v>
      </c>
      <c r="F120">
        <v>21.41</v>
      </c>
      <c r="G120">
        <v>0</v>
      </c>
    </row>
    <row r="121" spans="1:7">
      <c r="A121" s="3">
        <f t="shared" si="1"/>
        <v>33359</v>
      </c>
      <c r="B121">
        <v>1991</v>
      </c>
      <c r="C121">
        <v>121</v>
      </c>
      <c r="D121">
        <v>26.8</v>
      </c>
      <c r="E121">
        <v>12.6</v>
      </c>
      <c r="F121">
        <v>17.39</v>
      </c>
      <c r="G121">
        <v>0</v>
      </c>
    </row>
    <row r="122" spans="1:7">
      <c r="A122" s="3">
        <f t="shared" si="1"/>
        <v>33360</v>
      </c>
      <c r="B122">
        <v>1991</v>
      </c>
      <c r="C122">
        <v>122</v>
      </c>
      <c r="D122">
        <v>30</v>
      </c>
      <c r="E122">
        <v>13.2</v>
      </c>
      <c r="F122">
        <v>17.292999999999999</v>
      </c>
      <c r="G122">
        <v>0</v>
      </c>
    </row>
    <row r="123" spans="1:7">
      <c r="A123" s="3">
        <f t="shared" si="1"/>
        <v>33361</v>
      </c>
      <c r="B123">
        <v>1991</v>
      </c>
      <c r="C123">
        <v>123</v>
      </c>
      <c r="D123">
        <v>29</v>
      </c>
      <c r="E123">
        <v>10.6</v>
      </c>
      <c r="F123">
        <v>18.600999999999999</v>
      </c>
      <c r="G123">
        <v>0</v>
      </c>
    </row>
    <row r="124" spans="1:7">
      <c r="A124" s="3">
        <f t="shared" si="1"/>
        <v>33362</v>
      </c>
      <c r="B124">
        <v>1991</v>
      </c>
      <c r="C124">
        <v>124</v>
      </c>
      <c r="D124">
        <v>25.7</v>
      </c>
      <c r="E124">
        <v>12.7</v>
      </c>
      <c r="F124">
        <v>20.780999999999999</v>
      </c>
      <c r="G124">
        <v>0</v>
      </c>
    </row>
    <row r="125" spans="1:7">
      <c r="A125" s="3">
        <f t="shared" si="1"/>
        <v>33363</v>
      </c>
      <c r="B125">
        <v>1991</v>
      </c>
      <c r="C125">
        <v>125</v>
      </c>
      <c r="D125">
        <v>26</v>
      </c>
      <c r="E125">
        <v>9.8000000000000007</v>
      </c>
      <c r="F125">
        <v>17.39</v>
      </c>
      <c r="G125">
        <v>0</v>
      </c>
    </row>
    <row r="126" spans="1:7">
      <c r="A126" s="3">
        <f t="shared" si="1"/>
        <v>33364</v>
      </c>
      <c r="B126">
        <v>1991</v>
      </c>
      <c r="C126">
        <v>126</v>
      </c>
      <c r="D126">
        <v>26.6</v>
      </c>
      <c r="E126">
        <v>8.8000000000000007</v>
      </c>
      <c r="F126">
        <v>16.276</v>
      </c>
      <c r="G126">
        <v>0</v>
      </c>
    </row>
    <row r="127" spans="1:7">
      <c r="A127" s="3">
        <f t="shared" si="1"/>
        <v>33365</v>
      </c>
      <c r="B127">
        <v>1991</v>
      </c>
      <c r="C127">
        <v>127</v>
      </c>
      <c r="D127">
        <v>26.5</v>
      </c>
      <c r="E127">
        <v>9.5</v>
      </c>
      <c r="F127">
        <v>21.12</v>
      </c>
      <c r="G127">
        <v>0</v>
      </c>
    </row>
    <row r="128" spans="1:7">
      <c r="A128" s="3">
        <f t="shared" si="1"/>
        <v>33366</v>
      </c>
      <c r="B128">
        <v>1991</v>
      </c>
      <c r="C128">
        <v>128</v>
      </c>
      <c r="D128">
        <v>27</v>
      </c>
      <c r="E128">
        <v>9</v>
      </c>
      <c r="F128">
        <v>21.314</v>
      </c>
      <c r="G128">
        <v>0</v>
      </c>
    </row>
    <row r="129" spans="1:7">
      <c r="A129" s="3">
        <f t="shared" si="1"/>
        <v>33367</v>
      </c>
      <c r="B129">
        <v>1991</v>
      </c>
      <c r="C129">
        <v>129</v>
      </c>
      <c r="D129">
        <v>28</v>
      </c>
      <c r="E129">
        <v>12.9</v>
      </c>
      <c r="F129">
        <v>20.295999999999999</v>
      </c>
      <c r="G129">
        <v>0.1</v>
      </c>
    </row>
    <row r="130" spans="1:7">
      <c r="A130" s="3">
        <f t="shared" ref="A130:A193" si="2">DATE(B130,1,1)+C130-1</f>
        <v>33368</v>
      </c>
      <c r="B130">
        <v>1991</v>
      </c>
      <c r="C130">
        <v>130</v>
      </c>
      <c r="D130">
        <v>26.6</v>
      </c>
      <c r="E130">
        <v>15.5</v>
      </c>
      <c r="F130">
        <v>14.823</v>
      </c>
      <c r="G130">
        <v>2.2000000000000002</v>
      </c>
    </row>
    <row r="131" spans="1:7">
      <c r="A131" s="3">
        <f t="shared" si="2"/>
        <v>33369</v>
      </c>
      <c r="B131">
        <v>1991</v>
      </c>
      <c r="C131">
        <v>131</v>
      </c>
      <c r="D131">
        <v>23.5</v>
      </c>
      <c r="E131">
        <v>8</v>
      </c>
      <c r="F131">
        <v>16.712</v>
      </c>
      <c r="G131">
        <v>1</v>
      </c>
    </row>
    <row r="132" spans="1:7">
      <c r="A132" s="3">
        <f t="shared" si="2"/>
        <v>33370</v>
      </c>
      <c r="B132">
        <v>1991</v>
      </c>
      <c r="C132">
        <v>132</v>
      </c>
      <c r="D132">
        <v>24.1</v>
      </c>
      <c r="E132">
        <v>7.9</v>
      </c>
      <c r="F132">
        <v>19.279</v>
      </c>
      <c r="G132">
        <v>0</v>
      </c>
    </row>
    <row r="133" spans="1:7">
      <c r="A133" s="3">
        <f t="shared" si="2"/>
        <v>33371</v>
      </c>
      <c r="B133">
        <v>1991</v>
      </c>
      <c r="C133">
        <v>133</v>
      </c>
      <c r="D133">
        <v>24.1</v>
      </c>
      <c r="E133">
        <v>7</v>
      </c>
      <c r="F133">
        <v>20.295999999999999</v>
      </c>
      <c r="G133">
        <v>0</v>
      </c>
    </row>
    <row r="134" spans="1:7">
      <c r="A134" s="3">
        <f t="shared" si="2"/>
        <v>33372</v>
      </c>
      <c r="B134">
        <v>1991</v>
      </c>
      <c r="C134">
        <v>134</v>
      </c>
      <c r="D134">
        <v>24.2</v>
      </c>
      <c r="E134">
        <v>8.5</v>
      </c>
      <c r="F134">
        <v>17.777000000000001</v>
      </c>
      <c r="G134">
        <v>0</v>
      </c>
    </row>
    <row r="135" spans="1:7">
      <c r="A135" s="3">
        <f t="shared" si="2"/>
        <v>33373</v>
      </c>
      <c r="B135">
        <v>1991</v>
      </c>
      <c r="C135">
        <v>135</v>
      </c>
      <c r="D135">
        <v>22</v>
      </c>
      <c r="E135">
        <v>12.2</v>
      </c>
      <c r="F135">
        <v>12.981999999999999</v>
      </c>
      <c r="G135">
        <v>0</v>
      </c>
    </row>
    <row r="136" spans="1:7">
      <c r="A136" s="3">
        <f t="shared" si="2"/>
        <v>33374</v>
      </c>
      <c r="B136">
        <v>1991</v>
      </c>
      <c r="C136">
        <v>136</v>
      </c>
      <c r="D136">
        <v>21</v>
      </c>
      <c r="E136">
        <v>13.6</v>
      </c>
      <c r="F136">
        <v>7.6050000000000004</v>
      </c>
      <c r="G136">
        <v>11.2</v>
      </c>
    </row>
    <row r="137" spans="1:7">
      <c r="A137" s="3">
        <f t="shared" si="2"/>
        <v>33375</v>
      </c>
      <c r="B137">
        <v>1991</v>
      </c>
      <c r="C137">
        <v>137</v>
      </c>
      <c r="D137">
        <v>24.5</v>
      </c>
      <c r="E137">
        <v>11</v>
      </c>
      <c r="F137">
        <v>10.221</v>
      </c>
      <c r="G137">
        <v>0.2</v>
      </c>
    </row>
    <row r="138" spans="1:7">
      <c r="A138" s="3">
        <f t="shared" si="2"/>
        <v>33376</v>
      </c>
      <c r="B138">
        <v>1991</v>
      </c>
      <c r="C138">
        <v>138</v>
      </c>
      <c r="D138">
        <v>22</v>
      </c>
      <c r="E138">
        <v>12</v>
      </c>
      <c r="F138">
        <v>15.791</v>
      </c>
      <c r="G138">
        <v>0</v>
      </c>
    </row>
    <row r="139" spans="1:7">
      <c r="A139" s="3">
        <f t="shared" si="2"/>
        <v>33377</v>
      </c>
      <c r="B139">
        <v>1991</v>
      </c>
      <c r="C139">
        <v>139</v>
      </c>
      <c r="D139">
        <v>24.2</v>
      </c>
      <c r="E139">
        <v>16</v>
      </c>
      <c r="F139">
        <v>9.7850000000000001</v>
      </c>
      <c r="G139">
        <v>0</v>
      </c>
    </row>
    <row r="140" spans="1:7">
      <c r="A140" s="3">
        <f t="shared" si="2"/>
        <v>33378</v>
      </c>
      <c r="B140">
        <v>1991</v>
      </c>
      <c r="C140">
        <v>140</v>
      </c>
      <c r="D140">
        <v>22.1</v>
      </c>
      <c r="E140">
        <v>16.8</v>
      </c>
      <c r="F140">
        <v>7.702</v>
      </c>
      <c r="G140">
        <v>0.7</v>
      </c>
    </row>
    <row r="141" spans="1:7">
      <c r="A141" s="3">
        <f t="shared" si="2"/>
        <v>33379</v>
      </c>
      <c r="B141">
        <v>1991</v>
      </c>
      <c r="C141">
        <v>141</v>
      </c>
      <c r="D141">
        <v>22</v>
      </c>
      <c r="E141">
        <v>15.7</v>
      </c>
      <c r="F141">
        <v>7.6050000000000004</v>
      </c>
      <c r="G141">
        <v>1.3</v>
      </c>
    </row>
    <row r="142" spans="1:7">
      <c r="A142" s="3">
        <f t="shared" si="2"/>
        <v>33380</v>
      </c>
      <c r="B142">
        <v>1991</v>
      </c>
      <c r="C142">
        <v>142</v>
      </c>
      <c r="D142">
        <v>21.6</v>
      </c>
      <c r="E142">
        <v>15.7</v>
      </c>
      <c r="F142">
        <v>6.2</v>
      </c>
      <c r="G142">
        <v>0.6</v>
      </c>
    </row>
    <row r="143" spans="1:7">
      <c r="A143" s="3">
        <f t="shared" si="2"/>
        <v>33381</v>
      </c>
      <c r="B143">
        <v>1991</v>
      </c>
      <c r="C143">
        <v>143</v>
      </c>
      <c r="D143">
        <v>23.2</v>
      </c>
      <c r="E143">
        <v>14.8</v>
      </c>
      <c r="F143">
        <v>6.782</v>
      </c>
      <c r="G143">
        <v>0.3</v>
      </c>
    </row>
    <row r="144" spans="1:7">
      <c r="A144" s="3">
        <f t="shared" si="2"/>
        <v>33382</v>
      </c>
      <c r="B144">
        <v>1991</v>
      </c>
      <c r="C144">
        <v>144</v>
      </c>
      <c r="D144">
        <v>24</v>
      </c>
      <c r="E144">
        <v>14.4</v>
      </c>
      <c r="F144">
        <v>8.3800000000000008</v>
      </c>
      <c r="G144">
        <v>0.4</v>
      </c>
    </row>
    <row r="145" spans="1:7">
      <c r="A145" s="3">
        <f t="shared" si="2"/>
        <v>33383</v>
      </c>
      <c r="B145">
        <v>1991</v>
      </c>
      <c r="C145">
        <v>145</v>
      </c>
      <c r="D145">
        <v>27.4</v>
      </c>
      <c r="E145">
        <v>14.5</v>
      </c>
      <c r="F145">
        <v>11.19</v>
      </c>
      <c r="G145">
        <v>0</v>
      </c>
    </row>
    <row r="146" spans="1:7">
      <c r="A146" s="3">
        <f t="shared" si="2"/>
        <v>33384</v>
      </c>
      <c r="B146">
        <v>1991</v>
      </c>
      <c r="C146">
        <v>146</v>
      </c>
      <c r="D146">
        <v>26.9</v>
      </c>
      <c r="E146">
        <v>10.5</v>
      </c>
      <c r="F146">
        <v>8.6219999999999999</v>
      </c>
      <c r="G146">
        <v>0</v>
      </c>
    </row>
    <row r="147" spans="1:7">
      <c r="A147" s="3">
        <f t="shared" si="2"/>
        <v>33385</v>
      </c>
      <c r="B147">
        <v>1991</v>
      </c>
      <c r="C147">
        <v>147</v>
      </c>
      <c r="D147">
        <v>27.1</v>
      </c>
      <c r="E147">
        <v>12.1</v>
      </c>
      <c r="F147">
        <v>11.48</v>
      </c>
      <c r="G147">
        <v>0</v>
      </c>
    </row>
    <row r="148" spans="1:7">
      <c r="A148" s="3">
        <f t="shared" si="2"/>
        <v>33386</v>
      </c>
      <c r="B148">
        <v>1991</v>
      </c>
      <c r="C148">
        <v>148</v>
      </c>
      <c r="D148">
        <v>26</v>
      </c>
      <c r="E148">
        <v>13.6</v>
      </c>
      <c r="F148">
        <v>16.809000000000001</v>
      </c>
      <c r="G148">
        <v>0</v>
      </c>
    </row>
    <row r="149" spans="1:7">
      <c r="A149" s="3">
        <f t="shared" si="2"/>
        <v>33387</v>
      </c>
      <c r="B149">
        <v>1991</v>
      </c>
      <c r="C149">
        <v>149</v>
      </c>
      <c r="D149">
        <v>22.1</v>
      </c>
      <c r="E149">
        <v>16.3</v>
      </c>
      <c r="F149">
        <v>12.885</v>
      </c>
      <c r="G149">
        <v>8</v>
      </c>
    </row>
    <row r="150" spans="1:7">
      <c r="A150" s="3">
        <f t="shared" si="2"/>
        <v>33388</v>
      </c>
      <c r="B150">
        <v>1991</v>
      </c>
      <c r="C150">
        <v>150</v>
      </c>
      <c r="D150">
        <v>24.2</v>
      </c>
      <c r="E150">
        <v>11.9</v>
      </c>
      <c r="F150">
        <v>10.802</v>
      </c>
      <c r="G150">
        <v>0</v>
      </c>
    </row>
    <row r="151" spans="1:7">
      <c r="A151" s="3">
        <f t="shared" si="2"/>
        <v>33389</v>
      </c>
      <c r="B151">
        <v>1991</v>
      </c>
      <c r="C151">
        <v>151</v>
      </c>
      <c r="D151">
        <v>24.1</v>
      </c>
      <c r="E151">
        <v>9.5</v>
      </c>
      <c r="F151">
        <v>15.21</v>
      </c>
      <c r="G151">
        <v>0</v>
      </c>
    </row>
    <row r="152" spans="1:7">
      <c r="A152" s="3">
        <f t="shared" si="2"/>
        <v>33390</v>
      </c>
      <c r="B152">
        <v>1991</v>
      </c>
      <c r="C152">
        <v>152</v>
      </c>
      <c r="D152">
        <v>23.6</v>
      </c>
      <c r="E152">
        <v>12.8</v>
      </c>
      <c r="F152">
        <v>15.598000000000001</v>
      </c>
      <c r="G152">
        <v>0</v>
      </c>
    </row>
    <row r="153" spans="1:7">
      <c r="A153" s="3">
        <f t="shared" si="2"/>
        <v>33391</v>
      </c>
      <c r="B153">
        <v>1991</v>
      </c>
      <c r="C153">
        <v>153</v>
      </c>
      <c r="D153">
        <v>24</v>
      </c>
      <c r="E153">
        <v>8.8000000000000007</v>
      </c>
      <c r="F153">
        <v>10.510999999999999</v>
      </c>
      <c r="G153">
        <v>0</v>
      </c>
    </row>
    <row r="154" spans="1:7">
      <c r="A154" s="3">
        <f t="shared" si="2"/>
        <v>33392</v>
      </c>
      <c r="B154">
        <v>1991</v>
      </c>
      <c r="C154">
        <v>154</v>
      </c>
      <c r="D154">
        <v>23.5</v>
      </c>
      <c r="E154">
        <v>9.3000000000000007</v>
      </c>
      <c r="F154">
        <v>16.276</v>
      </c>
      <c r="G154">
        <v>0</v>
      </c>
    </row>
    <row r="155" spans="1:7">
      <c r="A155" s="3">
        <f t="shared" si="2"/>
        <v>33393</v>
      </c>
      <c r="B155">
        <v>1991</v>
      </c>
      <c r="C155">
        <v>155</v>
      </c>
      <c r="D155">
        <v>22.5</v>
      </c>
      <c r="E155">
        <v>9.1</v>
      </c>
      <c r="F155">
        <v>13.999000000000001</v>
      </c>
      <c r="G155">
        <v>0</v>
      </c>
    </row>
    <row r="156" spans="1:7">
      <c r="A156" s="3">
        <f t="shared" si="2"/>
        <v>33394</v>
      </c>
      <c r="B156">
        <v>1991</v>
      </c>
      <c r="C156">
        <v>156</v>
      </c>
      <c r="D156">
        <v>21</v>
      </c>
      <c r="E156">
        <v>14.9</v>
      </c>
      <c r="F156">
        <v>7.7990000000000004</v>
      </c>
      <c r="G156">
        <v>1.2</v>
      </c>
    </row>
    <row r="157" spans="1:7">
      <c r="A157" s="3">
        <f t="shared" si="2"/>
        <v>33395</v>
      </c>
      <c r="B157">
        <v>1991</v>
      </c>
      <c r="C157">
        <v>157</v>
      </c>
      <c r="D157">
        <v>25</v>
      </c>
      <c r="E157">
        <v>14.4</v>
      </c>
      <c r="F157">
        <v>3.681</v>
      </c>
      <c r="G157">
        <v>3.4</v>
      </c>
    </row>
    <row r="158" spans="1:7">
      <c r="A158" s="3">
        <f t="shared" si="2"/>
        <v>33396</v>
      </c>
      <c r="B158">
        <v>1991</v>
      </c>
      <c r="C158">
        <v>158</v>
      </c>
      <c r="D158">
        <v>22.6</v>
      </c>
      <c r="E158">
        <v>16.5</v>
      </c>
      <c r="F158">
        <v>9.5909999999999993</v>
      </c>
      <c r="G158">
        <v>2</v>
      </c>
    </row>
    <row r="159" spans="1:7">
      <c r="A159" s="3">
        <f t="shared" si="2"/>
        <v>33397</v>
      </c>
      <c r="B159">
        <v>1991</v>
      </c>
      <c r="C159">
        <v>159</v>
      </c>
      <c r="D159">
        <v>22.6</v>
      </c>
      <c r="E159">
        <v>13.1</v>
      </c>
      <c r="F159">
        <v>6.2</v>
      </c>
      <c r="G159">
        <v>2.6</v>
      </c>
    </row>
    <row r="160" spans="1:7">
      <c r="A160" s="3">
        <f t="shared" si="2"/>
        <v>33398</v>
      </c>
      <c r="B160">
        <v>1991</v>
      </c>
      <c r="C160">
        <v>160</v>
      </c>
      <c r="D160">
        <v>21</v>
      </c>
      <c r="E160">
        <v>13</v>
      </c>
      <c r="F160">
        <v>14.677</v>
      </c>
      <c r="G160">
        <v>0</v>
      </c>
    </row>
    <row r="161" spans="1:7">
      <c r="A161" s="3">
        <f t="shared" si="2"/>
        <v>33399</v>
      </c>
      <c r="B161">
        <v>1991</v>
      </c>
      <c r="C161">
        <v>161</v>
      </c>
      <c r="D161">
        <v>21.2</v>
      </c>
      <c r="E161">
        <v>12.2</v>
      </c>
      <c r="F161">
        <v>10.510999999999999</v>
      </c>
      <c r="G161">
        <v>0</v>
      </c>
    </row>
    <row r="162" spans="1:7">
      <c r="A162" s="3">
        <f t="shared" si="2"/>
        <v>33400</v>
      </c>
      <c r="B162">
        <v>1991</v>
      </c>
      <c r="C162">
        <v>162</v>
      </c>
      <c r="D162">
        <v>23.8</v>
      </c>
      <c r="E162">
        <v>10.199999999999999</v>
      </c>
      <c r="F162">
        <v>15.113</v>
      </c>
      <c r="G162">
        <v>0</v>
      </c>
    </row>
    <row r="163" spans="1:7">
      <c r="A163" s="3">
        <f t="shared" si="2"/>
        <v>33401</v>
      </c>
      <c r="B163">
        <v>1991</v>
      </c>
      <c r="C163">
        <v>163</v>
      </c>
      <c r="D163">
        <v>22.9</v>
      </c>
      <c r="E163">
        <v>6.9</v>
      </c>
      <c r="F163">
        <v>14.387</v>
      </c>
      <c r="G163">
        <v>0</v>
      </c>
    </row>
    <row r="164" spans="1:7">
      <c r="A164" s="3">
        <f t="shared" si="2"/>
        <v>33402</v>
      </c>
      <c r="B164">
        <v>1991</v>
      </c>
      <c r="C164">
        <v>164</v>
      </c>
      <c r="D164">
        <v>18.600000000000001</v>
      </c>
      <c r="E164">
        <v>7.2</v>
      </c>
      <c r="F164">
        <v>14.58</v>
      </c>
      <c r="G164">
        <v>3.6</v>
      </c>
    </row>
    <row r="165" spans="1:7">
      <c r="A165" s="3">
        <f t="shared" si="2"/>
        <v>33403</v>
      </c>
      <c r="B165">
        <v>1991</v>
      </c>
      <c r="C165">
        <v>165</v>
      </c>
      <c r="D165">
        <v>20.8</v>
      </c>
      <c r="E165">
        <v>9</v>
      </c>
      <c r="F165">
        <v>11.819000000000001</v>
      </c>
      <c r="G165">
        <v>0</v>
      </c>
    </row>
    <row r="166" spans="1:7">
      <c r="A166" s="3">
        <f t="shared" si="2"/>
        <v>33404</v>
      </c>
      <c r="B166">
        <v>1991</v>
      </c>
      <c r="C166">
        <v>166</v>
      </c>
      <c r="D166">
        <v>24.1</v>
      </c>
      <c r="E166">
        <v>6.4</v>
      </c>
      <c r="F166">
        <v>14.096</v>
      </c>
      <c r="G166">
        <v>0</v>
      </c>
    </row>
    <row r="167" spans="1:7">
      <c r="A167" s="3">
        <f t="shared" si="2"/>
        <v>33405</v>
      </c>
      <c r="B167">
        <v>1991</v>
      </c>
      <c r="C167">
        <v>167</v>
      </c>
      <c r="D167">
        <v>25</v>
      </c>
      <c r="E167">
        <v>8.1999999999999993</v>
      </c>
      <c r="F167">
        <v>13.999000000000001</v>
      </c>
      <c r="G167">
        <v>0</v>
      </c>
    </row>
    <row r="168" spans="1:7">
      <c r="A168" s="3">
        <f t="shared" si="2"/>
        <v>33406</v>
      </c>
      <c r="B168">
        <v>1991</v>
      </c>
      <c r="C168">
        <v>168</v>
      </c>
      <c r="D168">
        <v>25</v>
      </c>
      <c r="E168">
        <v>8</v>
      </c>
      <c r="F168">
        <v>15.113</v>
      </c>
      <c r="G168">
        <v>0</v>
      </c>
    </row>
    <row r="169" spans="1:7">
      <c r="A169" s="3">
        <f t="shared" si="2"/>
        <v>33407</v>
      </c>
      <c r="B169">
        <v>1991</v>
      </c>
      <c r="C169">
        <v>169</v>
      </c>
      <c r="D169">
        <v>23.8</v>
      </c>
      <c r="E169">
        <v>9.6</v>
      </c>
      <c r="F169">
        <v>15.404</v>
      </c>
      <c r="G169">
        <v>0</v>
      </c>
    </row>
    <row r="170" spans="1:7">
      <c r="A170" s="3">
        <f t="shared" si="2"/>
        <v>33408</v>
      </c>
      <c r="B170">
        <v>1991</v>
      </c>
      <c r="C170">
        <v>170</v>
      </c>
      <c r="D170">
        <v>23</v>
      </c>
      <c r="E170">
        <v>5.0999999999999996</v>
      </c>
      <c r="F170">
        <v>13.999000000000001</v>
      </c>
      <c r="G170">
        <v>0</v>
      </c>
    </row>
    <row r="171" spans="1:7">
      <c r="A171" s="3">
        <f t="shared" si="2"/>
        <v>33409</v>
      </c>
      <c r="B171">
        <v>1991</v>
      </c>
      <c r="C171">
        <v>171</v>
      </c>
      <c r="D171">
        <v>23</v>
      </c>
      <c r="E171">
        <v>10.9</v>
      </c>
      <c r="F171">
        <v>11.19</v>
      </c>
      <c r="G171">
        <v>0</v>
      </c>
    </row>
    <row r="172" spans="1:7">
      <c r="A172" s="3">
        <f t="shared" si="2"/>
        <v>33410</v>
      </c>
      <c r="B172">
        <v>1991</v>
      </c>
      <c r="C172">
        <v>172</v>
      </c>
      <c r="D172">
        <v>26</v>
      </c>
      <c r="E172">
        <v>13.3</v>
      </c>
      <c r="F172">
        <v>8.8160000000000007</v>
      </c>
      <c r="G172">
        <v>0</v>
      </c>
    </row>
    <row r="173" spans="1:7">
      <c r="A173" s="3">
        <f t="shared" si="2"/>
        <v>33411</v>
      </c>
      <c r="B173">
        <v>1991</v>
      </c>
      <c r="C173">
        <v>173</v>
      </c>
      <c r="D173">
        <v>24</v>
      </c>
      <c r="E173">
        <v>11</v>
      </c>
      <c r="F173">
        <v>6.782</v>
      </c>
      <c r="G173">
        <v>0</v>
      </c>
    </row>
    <row r="174" spans="1:7">
      <c r="A174" s="3">
        <f t="shared" si="2"/>
        <v>33412</v>
      </c>
      <c r="B174">
        <v>1991</v>
      </c>
      <c r="C174">
        <v>174</v>
      </c>
      <c r="D174">
        <v>24</v>
      </c>
      <c r="E174">
        <v>3</v>
      </c>
      <c r="F174">
        <v>15.113</v>
      </c>
      <c r="G174">
        <v>0</v>
      </c>
    </row>
    <row r="175" spans="1:7">
      <c r="A175" s="3">
        <f t="shared" si="2"/>
        <v>33413</v>
      </c>
      <c r="B175">
        <v>1991</v>
      </c>
      <c r="C175">
        <v>175</v>
      </c>
      <c r="D175">
        <v>26.8</v>
      </c>
      <c r="E175">
        <v>4.4000000000000004</v>
      </c>
      <c r="F175">
        <v>15.598000000000001</v>
      </c>
      <c r="G175">
        <v>0</v>
      </c>
    </row>
    <row r="176" spans="1:7">
      <c r="A176" s="3">
        <f t="shared" si="2"/>
        <v>33414</v>
      </c>
      <c r="B176">
        <v>1991</v>
      </c>
      <c r="C176">
        <v>176</v>
      </c>
      <c r="D176">
        <v>26.5</v>
      </c>
      <c r="E176">
        <v>10.4</v>
      </c>
      <c r="F176">
        <v>15.113</v>
      </c>
      <c r="G176">
        <v>0</v>
      </c>
    </row>
    <row r="177" spans="1:7">
      <c r="A177" s="3">
        <f t="shared" si="2"/>
        <v>33415</v>
      </c>
      <c r="B177">
        <v>1991</v>
      </c>
      <c r="C177">
        <v>177</v>
      </c>
      <c r="D177">
        <v>28.9</v>
      </c>
      <c r="E177">
        <v>5.7</v>
      </c>
      <c r="F177">
        <v>14.58</v>
      </c>
      <c r="G177">
        <v>0</v>
      </c>
    </row>
    <row r="178" spans="1:7">
      <c r="A178" s="3">
        <f t="shared" si="2"/>
        <v>33416</v>
      </c>
      <c r="B178">
        <v>1991</v>
      </c>
      <c r="C178">
        <v>178</v>
      </c>
      <c r="D178">
        <v>25.3</v>
      </c>
      <c r="E178">
        <v>4.9000000000000004</v>
      </c>
      <c r="F178">
        <v>14.096</v>
      </c>
      <c r="G178">
        <v>0</v>
      </c>
    </row>
    <row r="179" spans="1:7">
      <c r="A179" s="3">
        <f t="shared" si="2"/>
        <v>33417</v>
      </c>
      <c r="B179">
        <v>1991</v>
      </c>
      <c r="C179">
        <v>179</v>
      </c>
      <c r="D179">
        <v>24.5</v>
      </c>
      <c r="E179">
        <v>8.8000000000000007</v>
      </c>
      <c r="F179">
        <v>13.901999999999999</v>
      </c>
      <c r="G179">
        <v>0</v>
      </c>
    </row>
    <row r="180" spans="1:7">
      <c r="A180" s="3">
        <f t="shared" si="2"/>
        <v>33418</v>
      </c>
      <c r="B180">
        <v>1991</v>
      </c>
      <c r="C180">
        <v>180</v>
      </c>
      <c r="D180">
        <v>26.7</v>
      </c>
      <c r="E180">
        <v>7</v>
      </c>
      <c r="F180">
        <v>13.901999999999999</v>
      </c>
      <c r="G180">
        <v>0</v>
      </c>
    </row>
    <row r="181" spans="1:7">
      <c r="A181" s="3">
        <f t="shared" si="2"/>
        <v>33419</v>
      </c>
      <c r="B181">
        <v>1991</v>
      </c>
      <c r="C181">
        <v>181</v>
      </c>
      <c r="D181">
        <v>24.5</v>
      </c>
      <c r="E181">
        <v>10</v>
      </c>
      <c r="F181">
        <v>14.29</v>
      </c>
      <c r="G181">
        <v>0</v>
      </c>
    </row>
    <row r="182" spans="1:7">
      <c r="A182" s="3">
        <f t="shared" si="2"/>
        <v>33420</v>
      </c>
      <c r="B182">
        <v>1991</v>
      </c>
      <c r="C182">
        <v>182</v>
      </c>
      <c r="D182">
        <v>23</v>
      </c>
      <c r="E182">
        <v>3.5</v>
      </c>
      <c r="F182">
        <v>17.292999999999999</v>
      </c>
      <c r="G182">
        <v>0</v>
      </c>
    </row>
    <row r="183" spans="1:7">
      <c r="A183" s="3">
        <f t="shared" si="2"/>
        <v>33421</v>
      </c>
      <c r="B183">
        <v>1991</v>
      </c>
      <c r="C183">
        <v>183</v>
      </c>
      <c r="D183">
        <v>23</v>
      </c>
      <c r="E183">
        <v>5.8</v>
      </c>
      <c r="F183">
        <v>13.417999999999999</v>
      </c>
      <c r="G183">
        <v>0</v>
      </c>
    </row>
    <row r="184" spans="1:7">
      <c r="A184" s="3">
        <f t="shared" si="2"/>
        <v>33422</v>
      </c>
      <c r="B184">
        <v>1991</v>
      </c>
      <c r="C184">
        <v>184</v>
      </c>
      <c r="D184">
        <v>23.5</v>
      </c>
      <c r="E184">
        <v>7.1</v>
      </c>
      <c r="F184">
        <v>12.593999999999999</v>
      </c>
      <c r="G184">
        <v>0</v>
      </c>
    </row>
    <row r="185" spans="1:7">
      <c r="A185" s="3">
        <f t="shared" si="2"/>
        <v>33423</v>
      </c>
      <c r="B185">
        <v>1991</v>
      </c>
      <c r="C185">
        <v>185</v>
      </c>
      <c r="D185">
        <v>22.6</v>
      </c>
      <c r="E185">
        <v>7.5</v>
      </c>
      <c r="F185">
        <v>12.593999999999999</v>
      </c>
      <c r="G185">
        <v>0</v>
      </c>
    </row>
    <row r="186" spans="1:7">
      <c r="A186" s="3">
        <f t="shared" si="2"/>
        <v>33424</v>
      </c>
      <c r="B186">
        <v>1991</v>
      </c>
      <c r="C186">
        <v>186</v>
      </c>
      <c r="D186">
        <v>22.4</v>
      </c>
      <c r="E186">
        <v>9.6</v>
      </c>
      <c r="F186">
        <v>10.318</v>
      </c>
      <c r="G186">
        <v>0</v>
      </c>
    </row>
    <row r="187" spans="1:7">
      <c r="A187" s="3">
        <f t="shared" si="2"/>
        <v>33425</v>
      </c>
      <c r="B187">
        <v>1991</v>
      </c>
      <c r="C187">
        <v>187</v>
      </c>
      <c r="D187">
        <v>24.5</v>
      </c>
      <c r="E187">
        <v>6.5</v>
      </c>
      <c r="F187">
        <v>10.414999999999999</v>
      </c>
      <c r="G187">
        <v>0</v>
      </c>
    </row>
    <row r="188" spans="1:7">
      <c r="A188" s="3">
        <f t="shared" si="2"/>
        <v>33426</v>
      </c>
      <c r="B188">
        <v>1991</v>
      </c>
      <c r="C188">
        <v>188</v>
      </c>
      <c r="D188">
        <v>22</v>
      </c>
      <c r="E188">
        <v>5.5</v>
      </c>
      <c r="F188">
        <v>12.691000000000001</v>
      </c>
      <c r="G188">
        <v>0</v>
      </c>
    </row>
    <row r="189" spans="1:7">
      <c r="A189" s="3">
        <f t="shared" si="2"/>
        <v>33427</v>
      </c>
      <c r="B189">
        <v>1991</v>
      </c>
      <c r="C189">
        <v>189</v>
      </c>
      <c r="D189">
        <v>23</v>
      </c>
      <c r="E189">
        <v>8.5</v>
      </c>
      <c r="F189">
        <v>10.705</v>
      </c>
      <c r="G189">
        <v>0.3</v>
      </c>
    </row>
    <row r="190" spans="1:7">
      <c r="A190" s="3">
        <f t="shared" si="2"/>
        <v>33428</v>
      </c>
      <c r="B190">
        <v>1991</v>
      </c>
      <c r="C190">
        <v>190</v>
      </c>
      <c r="D190">
        <v>18</v>
      </c>
      <c r="E190">
        <v>12.2</v>
      </c>
      <c r="F190">
        <v>10.076000000000001</v>
      </c>
      <c r="G190">
        <v>0</v>
      </c>
    </row>
    <row r="191" spans="1:7">
      <c r="A191" s="3">
        <f t="shared" si="2"/>
        <v>33429</v>
      </c>
      <c r="B191">
        <v>1991</v>
      </c>
      <c r="C191">
        <v>191</v>
      </c>
      <c r="D191">
        <v>16.8</v>
      </c>
      <c r="E191">
        <v>8.1999999999999993</v>
      </c>
      <c r="F191">
        <v>5.28</v>
      </c>
      <c r="G191">
        <v>9.8000000000000007</v>
      </c>
    </row>
    <row r="192" spans="1:7">
      <c r="A192" s="3">
        <f t="shared" si="2"/>
        <v>33430</v>
      </c>
      <c r="B192">
        <v>1991</v>
      </c>
      <c r="C192">
        <v>192</v>
      </c>
      <c r="D192">
        <v>17</v>
      </c>
      <c r="E192">
        <v>9.1999999999999993</v>
      </c>
      <c r="F192">
        <v>15.404</v>
      </c>
      <c r="G192">
        <v>0</v>
      </c>
    </row>
    <row r="193" spans="1:7">
      <c r="A193" s="3">
        <f t="shared" si="2"/>
        <v>33431</v>
      </c>
      <c r="B193">
        <v>1991</v>
      </c>
      <c r="C193">
        <v>193</v>
      </c>
      <c r="D193">
        <v>19</v>
      </c>
      <c r="E193">
        <v>10.5</v>
      </c>
      <c r="F193">
        <v>12.11</v>
      </c>
      <c r="G193">
        <v>0</v>
      </c>
    </row>
    <row r="194" spans="1:7">
      <c r="A194" s="3">
        <f t="shared" ref="A194:A257" si="3">DATE(B194,1,1)+C194-1</f>
        <v>33432</v>
      </c>
      <c r="B194">
        <v>1991</v>
      </c>
      <c r="C194">
        <v>194</v>
      </c>
      <c r="D194">
        <v>20.6</v>
      </c>
      <c r="E194">
        <v>11.1</v>
      </c>
      <c r="F194">
        <v>14.92</v>
      </c>
      <c r="G194">
        <v>0</v>
      </c>
    </row>
    <row r="195" spans="1:7">
      <c r="A195" s="3">
        <f t="shared" si="3"/>
        <v>33433</v>
      </c>
      <c r="B195">
        <v>1991</v>
      </c>
      <c r="C195">
        <v>195</v>
      </c>
      <c r="D195">
        <v>16</v>
      </c>
      <c r="E195">
        <v>10</v>
      </c>
      <c r="F195">
        <v>13.805</v>
      </c>
      <c r="G195">
        <v>0</v>
      </c>
    </row>
    <row r="196" spans="1:7">
      <c r="A196" s="3">
        <f t="shared" si="3"/>
        <v>33434</v>
      </c>
      <c r="B196">
        <v>1991</v>
      </c>
      <c r="C196">
        <v>196</v>
      </c>
      <c r="D196">
        <v>19</v>
      </c>
      <c r="E196">
        <v>6.6</v>
      </c>
      <c r="F196">
        <v>16.905999999999999</v>
      </c>
      <c r="G196">
        <v>0</v>
      </c>
    </row>
    <row r="197" spans="1:7">
      <c r="A197" s="3">
        <f t="shared" si="3"/>
        <v>33435</v>
      </c>
      <c r="B197">
        <v>1991</v>
      </c>
      <c r="C197">
        <v>197</v>
      </c>
      <c r="D197">
        <v>19.8</v>
      </c>
      <c r="E197">
        <v>6</v>
      </c>
      <c r="F197">
        <v>15.404</v>
      </c>
      <c r="G197">
        <v>0</v>
      </c>
    </row>
    <row r="198" spans="1:7">
      <c r="A198" s="3">
        <f t="shared" si="3"/>
        <v>33436</v>
      </c>
      <c r="B198">
        <v>1991</v>
      </c>
      <c r="C198">
        <v>198</v>
      </c>
      <c r="D198">
        <v>19.100000000000001</v>
      </c>
      <c r="E198">
        <v>3.7</v>
      </c>
      <c r="F198">
        <v>14.484</v>
      </c>
      <c r="G198">
        <v>0</v>
      </c>
    </row>
    <row r="199" spans="1:7">
      <c r="A199" s="3">
        <f t="shared" si="3"/>
        <v>33437</v>
      </c>
      <c r="B199">
        <v>1991</v>
      </c>
      <c r="C199">
        <v>199</v>
      </c>
      <c r="D199">
        <v>19.600000000000001</v>
      </c>
      <c r="E199">
        <v>4.2</v>
      </c>
      <c r="F199">
        <v>14.096</v>
      </c>
      <c r="G199">
        <v>0</v>
      </c>
    </row>
    <row r="200" spans="1:7">
      <c r="A200" s="3">
        <f t="shared" si="3"/>
        <v>33438</v>
      </c>
      <c r="B200">
        <v>1991</v>
      </c>
      <c r="C200">
        <v>200</v>
      </c>
      <c r="D200">
        <v>26.8</v>
      </c>
      <c r="E200">
        <v>2.6</v>
      </c>
      <c r="F200">
        <v>20.587</v>
      </c>
      <c r="G200">
        <v>0</v>
      </c>
    </row>
    <row r="201" spans="1:7">
      <c r="A201" s="3">
        <f t="shared" si="3"/>
        <v>33439</v>
      </c>
      <c r="B201">
        <v>1991</v>
      </c>
      <c r="C201">
        <v>201</v>
      </c>
      <c r="D201">
        <v>25.7</v>
      </c>
      <c r="E201">
        <v>3</v>
      </c>
      <c r="F201">
        <v>23.978000000000002</v>
      </c>
      <c r="G201">
        <v>0</v>
      </c>
    </row>
    <row r="202" spans="1:7">
      <c r="A202" s="3">
        <f t="shared" si="3"/>
        <v>33440</v>
      </c>
      <c r="B202">
        <v>1991</v>
      </c>
      <c r="C202">
        <v>202</v>
      </c>
      <c r="D202">
        <v>25.6</v>
      </c>
      <c r="E202">
        <v>5.6</v>
      </c>
      <c r="F202">
        <v>16.082000000000001</v>
      </c>
      <c r="G202">
        <v>0</v>
      </c>
    </row>
    <row r="203" spans="1:7">
      <c r="A203" s="3">
        <f t="shared" si="3"/>
        <v>33441</v>
      </c>
      <c r="B203">
        <v>1991</v>
      </c>
      <c r="C203">
        <v>203</v>
      </c>
      <c r="D203">
        <v>20</v>
      </c>
      <c r="E203">
        <v>4.5</v>
      </c>
      <c r="F203">
        <v>15.404</v>
      </c>
      <c r="G203">
        <v>0</v>
      </c>
    </row>
    <row r="204" spans="1:7">
      <c r="A204" s="3">
        <f t="shared" si="3"/>
        <v>33442</v>
      </c>
      <c r="B204">
        <v>1991</v>
      </c>
      <c r="C204">
        <v>204</v>
      </c>
      <c r="D204">
        <v>21</v>
      </c>
      <c r="E204">
        <v>2.8</v>
      </c>
      <c r="F204">
        <v>5.8129999999999997</v>
      </c>
      <c r="G204">
        <v>3.4</v>
      </c>
    </row>
    <row r="205" spans="1:7">
      <c r="A205" s="3">
        <f t="shared" si="3"/>
        <v>33443</v>
      </c>
      <c r="B205">
        <v>1991</v>
      </c>
      <c r="C205">
        <v>205</v>
      </c>
      <c r="D205">
        <v>18</v>
      </c>
      <c r="E205">
        <v>3.5</v>
      </c>
      <c r="F205">
        <v>15.21</v>
      </c>
      <c r="G205">
        <v>6</v>
      </c>
    </row>
    <row r="206" spans="1:7">
      <c r="A206" s="3">
        <f t="shared" si="3"/>
        <v>33444</v>
      </c>
      <c r="B206">
        <v>1991</v>
      </c>
      <c r="C206">
        <v>206</v>
      </c>
      <c r="D206">
        <v>18.600000000000001</v>
      </c>
      <c r="E206">
        <v>2.8</v>
      </c>
      <c r="F206">
        <v>16.082000000000001</v>
      </c>
      <c r="G206">
        <v>0</v>
      </c>
    </row>
    <row r="207" spans="1:7">
      <c r="A207" s="3">
        <f t="shared" si="3"/>
        <v>33445</v>
      </c>
      <c r="B207">
        <v>1991</v>
      </c>
      <c r="C207">
        <v>207</v>
      </c>
      <c r="D207">
        <v>18.399999999999999</v>
      </c>
      <c r="E207">
        <v>3.2</v>
      </c>
      <c r="F207">
        <v>16.905999999999999</v>
      </c>
      <c r="G207">
        <v>0</v>
      </c>
    </row>
    <row r="208" spans="1:7">
      <c r="A208" s="3">
        <f t="shared" si="3"/>
        <v>33446</v>
      </c>
      <c r="B208">
        <v>1991</v>
      </c>
      <c r="C208">
        <v>208</v>
      </c>
      <c r="D208">
        <v>19.100000000000001</v>
      </c>
      <c r="E208">
        <v>0.1</v>
      </c>
      <c r="F208">
        <v>17.777000000000001</v>
      </c>
      <c r="G208">
        <v>0</v>
      </c>
    </row>
    <row r="209" spans="1:7">
      <c r="A209" s="3">
        <f t="shared" si="3"/>
        <v>33447</v>
      </c>
      <c r="B209">
        <v>1991</v>
      </c>
      <c r="C209">
        <v>209</v>
      </c>
      <c r="D209">
        <v>21</v>
      </c>
      <c r="E209">
        <v>2.7</v>
      </c>
      <c r="F209">
        <v>19.521000000000001</v>
      </c>
      <c r="G209">
        <v>0</v>
      </c>
    </row>
    <row r="210" spans="1:7">
      <c r="A210" s="3">
        <f t="shared" si="3"/>
        <v>33448</v>
      </c>
      <c r="B210">
        <v>1991</v>
      </c>
      <c r="C210">
        <v>210</v>
      </c>
      <c r="D210">
        <v>20.5</v>
      </c>
      <c r="E210">
        <v>4.4000000000000004</v>
      </c>
      <c r="F210">
        <v>16.178999999999998</v>
      </c>
      <c r="G210">
        <v>0</v>
      </c>
    </row>
    <row r="211" spans="1:7">
      <c r="A211" s="3">
        <f t="shared" si="3"/>
        <v>33449</v>
      </c>
      <c r="B211">
        <v>1991</v>
      </c>
      <c r="C211">
        <v>211</v>
      </c>
      <c r="D211">
        <v>20.5</v>
      </c>
      <c r="E211">
        <v>5.7</v>
      </c>
      <c r="F211">
        <v>16.082000000000001</v>
      </c>
      <c r="G211">
        <v>0</v>
      </c>
    </row>
    <row r="212" spans="1:7">
      <c r="A212" s="3">
        <f t="shared" si="3"/>
        <v>33450</v>
      </c>
      <c r="B212">
        <v>1991</v>
      </c>
      <c r="C212">
        <v>212</v>
      </c>
      <c r="D212">
        <v>21.7</v>
      </c>
      <c r="E212">
        <v>2</v>
      </c>
      <c r="F212">
        <v>17.777000000000001</v>
      </c>
      <c r="G212">
        <v>0</v>
      </c>
    </row>
    <row r="213" spans="1:7">
      <c r="A213" s="3">
        <f t="shared" si="3"/>
        <v>33451</v>
      </c>
      <c r="B213">
        <v>1991</v>
      </c>
      <c r="C213">
        <v>213</v>
      </c>
      <c r="D213">
        <v>24.9</v>
      </c>
      <c r="E213">
        <v>4.0999999999999996</v>
      </c>
      <c r="F213">
        <v>17.777000000000001</v>
      </c>
      <c r="G213">
        <v>0</v>
      </c>
    </row>
    <row r="214" spans="1:7">
      <c r="A214" s="3">
        <f t="shared" si="3"/>
        <v>33452</v>
      </c>
      <c r="B214">
        <v>1991</v>
      </c>
      <c r="C214">
        <v>214</v>
      </c>
      <c r="D214">
        <v>23.4</v>
      </c>
      <c r="E214">
        <v>7.2</v>
      </c>
      <c r="F214">
        <v>18.407</v>
      </c>
      <c r="G214">
        <v>0</v>
      </c>
    </row>
    <row r="215" spans="1:7">
      <c r="A215" s="3">
        <f t="shared" si="3"/>
        <v>33453</v>
      </c>
      <c r="B215">
        <v>1991</v>
      </c>
      <c r="C215">
        <v>215</v>
      </c>
      <c r="D215">
        <v>22.8</v>
      </c>
      <c r="E215">
        <v>3</v>
      </c>
      <c r="F215">
        <v>17.001999999999999</v>
      </c>
      <c r="G215">
        <v>0</v>
      </c>
    </row>
    <row r="216" spans="1:7">
      <c r="A216" s="3">
        <f t="shared" si="3"/>
        <v>33454</v>
      </c>
      <c r="B216">
        <v>1991</v>
      </c>
      <c r="C216">
        <v>216</v>
      </c>
      <c r="D216">
        <v>27</v>
      </c>
      <c r="E216">
        <v>4.7</v>
      </c>
      <c r="F216">
        <v>17.584</v>
      </c>
      <c r="G216">
        <v>0</v>
      </c>
    </row>
    <row r="217" spans="1:7">
      <c r="A217" s="3">
        <f t="shared" si="3"/>
        <v>33455</v>
      </c>
      <c r="B217">
        <v>1991</v>
      </c>
      <c r="C217">
        <v>217</v>
      </c>
      <c r="D217">
        <v>30.1</v>
      </c>
      <c r="E217">
        <v>6.9</v>
      </c>
      <c r="F217">
        <v>18.504000000000001</v>
      </c>
      <c r="G217">
        <v>0</v>
      </c>
    </row>
    <row r="218" spans="1:7">
      <c r="A218" s="3">
        <f t="shared" si="3"/>
        <v>33456</v>
      </c>
      <c r="B218">
        <v>1991</v>
      </c>
      <c r="C218">
        <v>218</v>
      </c>
      <c r="D218">
        <v>25.8</v>
      </c>
      <c r="E218">
        <v>9.5</v>
      </c>
      <c r="F218">
        <v>17.681000000000001</v>
      </c>
      <c r="G218">
        <v>0</v>
      </c>
    </row>
    <row r="219" spans="1:7">
      <c r="A219" s="3">
        <f t="shared" si="3"/>
        <v>33457</v>
      </c>
      <c r="B219">
        <v>1991</v>
      </c>
      <c r="C219">
        <v>219</v>
      </c>
      <c r="D219">
        <v>24.2</v>
      </c>
      <c r="E219">
        <v>9.5</v>
      </c>
      <c r="F219">
        <v>16.614999999999998</v>
      </c>
      <c r="G219">
        <v>0</v>
      </c>
    </row>
    <row r="220" spans="1:7">
      <c r="A220" s="3">
        <f t="shared" si="3"/>
        <v>33458</v>
      </c>
      <c r="B220">
        <v>1991</v>
      </c>
      <c r="C220">
        <v>220</v>
      </c>
      <c r="D220">
        <v>22.9</v>
      </c>
      <c r="E220">
        <v>4</v>
      </c>
      <c r="F220">
        <v>17.681000000000001</v>
      </c>
      <c r="G220">
        <v>0</v>
      </c>
    </row>
    <row r="221" spans="1:7">
      <c r="A221" s="3">
        <f t="shared" si="3"/>
        <v>33459</v>
      </c>
      <c r="B221">
        <v>1991</v>
      </c>
      <c r="C221">
        <v>221</v>
      </c>
      <c r="D221">
        <v>20.6</v>
      </c>
      <c r="E221">
        <v>5.5</v>
      </c>
      <c r="F221">
        <v>19.521000000000001</v>
      </c>
      <c r="G221">
        <v>0</v>
      </c>
    </row>
    <row r="222" spans="1:7">
      <c r="A222" s="3">
        <f t="shared" si="3"/>
        <v>33460</v>
      </c>
      <c r="B222">
        <v>1991</v>
      </c>
      <c r="C222">
        <v>222</v>
      </c>
      <c r="D222">
        <v>21.9</v>
      </c>
      <c r="E222">
        <v>4.5999999999999996</v>
      </c>
      <c r="F222">
        <v>17.486999999999998</v>
      </c>
      <c r="G222">
        <v>0</v>
      </c>
    </row>
    <row r="223" spans="1:7">
      <c r="A223" s="3">
        <f t="shared" si="3"/>
        <v>33461</v>
      </c>
      <c r="B223">
        <v>1991</v>
      </c>
      <c r="C223">
        <v>223</v>
      </c>
      <c r="D223">
        <v>22.1</v>
      </c>
      <c r="E223">
        <v>4.0999999999999996</v>
      </c>
      <c r="F223">
        <v>19.085000000000001</v>
      </c>
      <c r="G223">
        <v>0</v>
      </c>
    </row>
    <row r="224" spans="1:7">
      <c r="A224" s="3">
        <f t="shared" si="3"/>
        <v>33462</v>
      </c>
      <c r="B224">
        <v>1991</v>
      </c>
      <c r="C224">
        <v>224</v>
      </c>
      <c r="D224">
        <v>22.4</v>
      </c>
      <c r="E224">
        <v>4.4000000000000004</v>
      </c>
      <c r="F224">
        <v>16.373000000000001</v>
      </c>
      <c r="G224">
        <v>0</v>
      </c>
    </row>
    <row r="225" spans="1:7">
      <c r="A225" s="3">
        <f t="shared" si="3"/>
        <v>33463</v>
      </c>
      <c r="B225">
        <v>1991</v>
      </c>
      <c r="C225">
        <v>225</v>
      </c>
      <c r="D225">
        <v>24.1</v>
      </c>
      <c r="E225">
        <v>4.2</v>
      </c>
      <c r="F225">
        <v>17.292999999999999</v>
      </c>
      <c r="G225">
        <v>0</v>
      </c>
    </row>
    <row r="226" spans="1:7">
      <c r="A226" s="3">
        <f t="shared" si="3"/>
        <v>33464</v>
      </c>
      <c r="B226">
        <v>1991</v>
      </c>
      <c r="C226">
        <v>226</v>
      </c>
      <c r="D226">
        <v>26</v>
      </c>
      <c r="E226">
        <v>5</v>
      </c>
      <c r="F226">
        <v>16.082000000000001</v>
      </c>
      <c r="G226">
        <v>0</v>
      </c>
    </row>
    <row r="227" spans="1:7">
      <c r="A227" s="3">
        <f t="shared" si="3"/>
        <v>33465</v>
      </c>
      <c r="B227">
        <v>1991</v>
      </c>
      <c r="C227">
        <v>227</v>
      </c>
      <c r="D227">
        <v>24.1</v>
      </c>
      <c r="E227">
        <v>9.8000000000000007</v>
      </c>
      <c r="F227">
        <v>18.988</v>
      </c>
      <c r="G227">
        <v>0</v>
      </c>
    </row>
    <row r="228" spans="1:7">
      <c r="A228" s="3">
        <f t="shared" si="3"/>
        <v>33466</v>
      </c>
      <c r="B228">
        <v>1991</v>
      </c>
      <c r="C228">
        <v>228</v>
      </c>
      <c r="D228">
        <v>22.7</v>
      </c>
      <c r="E228">
        <v>8</v>
      </c>
      <c r="F228">
        <v>21.459</v>
      </c>
      <c r="G228">
        <v>0</v>
      </c>
    </row>
    <row r="229" spans="1:7">
      <c r="A229" s="3">
        <f t="shared" si="3"/>
        <v>33467</v>
      </c>
      <c r="B229">
        <v>1991</v>
      </c>
      <c r="C229">
        <v>229</v>
      </c>
      <c r="D229">
        <v>21.4</v>
      </c>
      <c r="E229">
        <v>9.5</v>
      </c>
      <c r="F229">
        <v>18.117000000000001</v>
      </c>
      <c r="G229">
        <v>0</v>
      </c>
    </row>
    <row r="230" spans="1:7">
      <c r="A230" s="3">
        <f t="shared" si="3"/>
        <v>33468</v>
      </c>
      <c r="B230">
        <v>1991</v>
      </c>
      <c r="C230">
        <v>230</v>
      </c>
      <c r="D230">
        <v>22.6</v>
      </c>
      <c r="E230">
        <v>7.4</v>
      </c>
      <c r="F230">
        <v>15.888</v>
      </c>
      <c r="G230">
        <v>0</v>
      </c>
    </row>
    <row r="231" spans="1:7">
      <c r="A231" s="3">
        <f t="shared" si="3"/>
        <v>33469</v>
      </c>
      <c r="B231">
        <v>1991</v>
      </c>
      <c r="C231">
        <v>231</v>
      </c>
      <c r="D231">
        <v>23</v>
      </c>
      <c r="E231">
        <v>4.5999999999999996</v>
      </c>
      <c r="F231">
        <v>21.992000000000001</v>
      </c>
      <c r="G231">
        <v>0</v>
      </c>
    </row>
    <row r="232" spans="1:7">
      <c r="A232" s="3">
        <f t="shared" si="3"/>
        <v>33470</v>
      </c>
      <c r="B232">
        <v>1991</v>
      </c>
      <c r="C232">
        <v>232</v>
      </c>
      <c r="D232">
        <v>26.5</v>
      </c>
      <c r="E232">
        <v>5.0999999999999996</v>
      </c>
      <c r="F232">
        <v>19.181999999999999</v>
      </c>
      <c r="G232">
        <v>0</v>
      </c>
    </row>
    <row r="233" spans="1:7">
      <c r="A233" s="3">
        <f t="shared" si="3"/>
        <v>33471</v>
      </c>
      <c r="B233">
        <v>1991</v>
      </c>
      <c r="C233">
        <v>233</v>
      </c>
      <c r="D233">
        <v>25.5</v>
      </c>
      <c r="E233">
        <v>8.5</v>
      </c>
      <c r="F233">
        <v>15.113</v>
      </c>
      <c r="G233">
        <v>0</v>
      </c>
    </row>
    <row r="234" spans="1:7">
      <c r="A234" s="3">
        <f t="shared" si="3"/>
        <v>33472</v>
      </c>
      <c r="B234">
        <v>1991</v>
      </c>
      <c r="C234">
        <v>234</v>
      </c>
      <c r="D234">
        <v>24.5</v>
      </c>
      <c r="E234">
        <v>6.1</v>
      </c>
      <c r="F234">
        <v>21.12</v>
      </c>
      <c r="G234">
        <v>0</v>
      </c>
    </row>
    <row r="235" spans="1:7">
      <c r="A235" s="3">
        <f t="shared" si="3"/>
        <v>33473</v>
      </c>
      <c r="B235">
        <v>1991</v>
      </c>
      <c r="C235">
        <v>235</v>
      </c>
      <c r="D235">
        <v>27.6</v>
      </c>
      <c r="E235">
        <v>1.9</v>
      </c>
      <c r="F235">
        <v>21.701000000000001</v>
      </c>
      <c r="G235">
        <v>0</v>
      </c>
    </row>
    <row r="236" spans="1:7">
      <c r="A236" s="3">
        <f t="shared" si="3"/>
        <v>33474</v>
      </c>
      <c r="B236">
        <v>1991</v>
      </c>
      <c r="C236">
        <v>236</v>
      </c>
      <c r="D236">
        <v>20.2</v>
      </c>
      <c r="E236">
        <v>3.4</v>
      </c>
      <c r="F236">
        <v>18.891999999999999</v>
      </c>
      <c r="G236">
        <v>0</v>
      </c>
    </row>
    <row r="237" spans="1:7">
      <c r="A237" s="3">
        <f t="shared" si="3"/>
        <v>33475</v>
      </c>
      <c r="B237">
        <v>1991</v>
      </c>
      <c r="C237">
        <v>237</v>
      </c>
      <c r="D237">
        <v>21.2</v>
      </c>
      <c r="E237">
        <v>5.5</v>
      </c>
      <c r="F237">
        <v>21.556000000000001</v>
      </c>
      <c r="G237">
        <v>0</v>
      </c>
    </row>
    <row r="238" spans="1:7">
      <c r="A238" s="3">
        <f t="shared" si="3"/>
        <v>33476</v>
      </c>
      <c r="B238">
        <v>1991</v>
      </c>
      <c r="C238">
        <v>238</v>
      </c>
      <c r="D238">
        <v>21</v>
      </c>
      <c r="E238">
        <v>1.7</v>
      </c>
      <c r="F238">
        <v>22.573</v>
      </c>
      <c r="G238">
        <v>0</v>
      </c>
    </row>
    <row r="239" spans="1:7">
      <c r="A239" s="3">
        <f t="shared" si="3"/>
        <v>33477</v>
      </c>
      <c r="B239">
        <v>1991</v>
      </c>
      <c r="C239">
        <v>239</v>
      </c>
      <c r="D239">
        <v>23.9</v>
      </c>
      <c r="E239">
        <v>3.6</v>
      </c>
      <c r="F239">
        <v>18.795000000000002</v>
      </c>
      <c r="G239">
        <v>0</v>
      </c>
    </row>
    <row r="240" spans="1:7">
      <c r="A240" s="3">
        <f t="shared" si="3"/>
        <v>33478</v>
      </c>
      <c r="B240">
        <v>1991</v>
      </c>
      <c r="C240">
        <v>240</v>
      </c>
      <c r="D240">
        <v>29.5</v>
      </c>
      <c r="E240">
        <v>5.0999999999999996</v>
      </c>
      <c r="F240">
        <v>22.379000000000001</v>
      </c>
      <c r="G240">
        <v>0</v>
      </c>
    </row>
    <row r="241" spans="1:7">
      <c r="A241" s="3">
        <f t="shared" si="3"/>
        <v>33479</v>
      </c>
      <c r="B241">
        <v>1991</v>
      </c>
      <c r="C241">
        <v>241</v>
      </c>
      <c r="D241">
        <v>30.5</v>
      </c>
      <c r="E241">
        <v>10.6</v>
      </c>
      <c r="F241">
        <v>20.199000000000002</v>
      </c>
      <c r="G241">
        <v>0</v>
      </c>
    </row>
    <row r="242" spans="1:7">
      <c r="A242" s="3">
        <f t="shared" si="3"/>
        <v>33480</v>
      </c>
      <c r="B242">
        <v>1991</v>
      </c>
      <c r="C242">
        <v>242</v>
      </c>
      <c r="D242">
        <v>23.7</v>
      </c>
      <c r="E242">
        <v>11.6</v>
      </c>
      <c r="F242">
        <v>18.02</v>
      </c>
      <c r="G242">
        <v>0</v>
      </c>
    </row>
    <row r="243" spans="1:7">
      <c r="A243" s="3">
        <f t="shared" si="3"/>
        <v>33481</v>
      </c>
      <c r="B243">
        <v>1991</v>
      </c>
      <c r="C243">
        <v>243</v>
      </c>
      <c r="D243">
        <v>24.1</v>
      </c>
      <c r="E243">
        <v>10.1</v>
      </c>
      <c r="F243">
        <v>11.48</v>
      </c>
      <c r="G243">
        <v>0</v>
      </c>
    </row>
    <row r="244" spans="1:7">
      <c r="A244" s="3">
        <f t="shared" si="3"/>
        <v>33482</v>
      </c>
      <c r="B244">
        <v>1991</v>
      </c>
      <c r="C244">
        <v>244</v>
      </c>
      <c r="D244">
        <v>23.8</v>
      </c>
      <c r="E244">
        <v>6</v>
      </c>
      <c r="F244">
        <v>23.396999999999998</v>
      </c>
      <c r="G244">
        <v>0</v>
      </c>
    </row>
    <row r="245" spans="1:7">
      <c r="A245" s="3">
        <f t="shared" si="3"/>
        <v>33483</v>
      </c>
      <c r="B245">
        <v>1991</v>
      </c>
      <c r="C245">
        <v>245</v>
      </c>
      <c r="D245">
        <v>24</v>
      </c>
      <c r="E245">
        <v>1.2</v>
      </c>
      <c r="F245">
        <v>23.687000000000001</v>
      </c>
      <c r="G245">
        <v>0</v>
      </c>
    </row>
    <row r="246" spans="1:7">
      <c r="A246" s="3">
        <f t="shared" si="3"/>
        <v>33484</v>
      </c>
      <c r="B246">
        <v>1991</v>
      </c>
      <c r="C246">
        <v>246</v>
      </c>
      <c r="D246">
        <v>26</v>
      </c>
      <c r="E246">
        <v>3.4</v>
      </c>
      <c r="F246">
        <v>25.672999999999998</v>
      </c>
      <c r="G246">
        <v>0</v>
      </c>
    </row>
    <row r="247" spans="1:7">
      <c r="A247" s="3">
        <f t="shared" si="3"/>
        <v>33485</v>
      </c>
      <c r="B247">
        <v>1991</v>
      </c>
      <c r="C247">
        <v>247</v>
      </c>
      <c r="D247">
        <v>25</v>
      </c>
      <c r="E247">
        <v>5.5</v>
      </c>
      <c r="F247">
        <v>22.766999999999999</v>
      </c>
      <c r="G247">
        <v>0</v>
      </c>
    </row>
    <row r="248" spans="1:7">
      <c r="A248" s="3">
        <f t="shared" si="3"/>
        <v>33486</v>
      </c>
      <c r="B248">
        <v>1991</v>
      </c>
      <c r="C248">
        <v>248</v>
      </c>
      <c r="D248">
        <v>27</v>
      </c>
      <c r="E248">
        <v>4.5</v>
      </c>
      <c r="F248">
        <v>22.815000000000001</v>
      </c>
      <c r="G248">
        <v>0</v>
      </c>
    </row>
    <row r="249" spans="1:7">
      <c r="A249" s="3">
        <f t="shared" si="3"/>
        <v>33487</v>
      </c>
      <c r="B249">
        <v>1991</v>
      </c>
      <c r="C249">
        <v>249</v>
      </c>
      <c r="D249">
        <v>27.4</v>
      </c>
      <c r="E249">
        <v>5</v>
      </c>
      <c r="F249">
        <v>22.911999999999999</v>
      </c>
      <c r="G249">
        <v>0</v>
      </c>
    </row>
    <row r="250" spans="1:7">
      <c r="A250" s="3">
        <f t="shared" si="3"/>
        <v>33488</v>
      </c>
      <c r="B250">
        <v>1991</v>
      </c>
      <c r="C250">
        <v>250</v>
      </c>
      <c r="D250">
        <v>26.1</v>
      </c>
      <c r="E250">
        <v>7.3</v>
      </c>
      <c r="F250">
        <v>21.459</v>
      </c>
      <c r="G250">
        <v>0</v>
      </c>
    </row>
    <row r="251" spans="1:7">
      <c r="A251" s="3">
        <f t="shared" si="3"/>
        <v>33489</v>
      </c>
      <c r="B251">
        <v>1991</v>
      </c>
      <c r="C251">
        <v>251</v>
      </c>
      <c r="D251">
        <v>27.5</v>
      </c>
      <c r="E251">
        <v>7.1</v>
      </c>
      <c r="F251">
        <v>24.172000000000001</v>
      </c>
      <c r="G251">
        <v>0</v>
      </c>
    </row>
    <row r="252" spans="1:7">
      <c r="A252" s="3">
        <f t="shared" si="3"/>
        <v>33490</v>
      </c>
      <c r="B252">
        <v>1991</v>
      </c>
      <c r="C252">
        <v>252</v>
      </c>
      <c r="D252">
        <v>29.5</v>
      </c>
      <c r="E252">
        <v>9.4</v>
      </c>
      <c r="F252">
        <v>25.963999999999999</v>
      </c>
      <c r="G252">
        <v>0</v>
      </c>
    </row>
    <row r="253" spans="1:7">
      <c r="A253" s="3">
        <f t="shared" si="3"/>
        <v>33491</v>
      </c>
      <c r="B253">
        <v>1991</v>
      </c>
      <c r="C253">
        <v>253</v>
      </c>
      <c r="D253">
        <v>30</v>
      </c>
      <c r="E253">
        <v>10</v>
      </c>
      <c r="F253">
        <v>20.49</v>
      </c>
      <c r="G253">
        <v>0</v>
      </c>
    </row>
    <row r="254" spans="1:7">
      <c r="A254" s="3">
        <f t="shared" si="3"/>
        <v>33492</v>
      </c>
      <c r="B254">
        <v>1991</v>
      </c>
      <c r="C254">
        <v>254</v>
      </c>
      <c r="D254">
        <v>24</v>
      </c>
      <c r="E254">
        <v>15.9</v>
      </c>
      <c r="F254">
        <v>20.295999999999999</v>
      </c>
      <c r="G254">
        <v>0</v>
      </c>
    </row>
    <row r="255" spans="1:7">
      <c r="A255" s="3">
        <f t="shared" si="3"/>
        <v>33493</v>
      </c>
      <c r="B255">
        <v>1991</v>
      </c>
      <c r="C255">
        <v>255</v>
      </c>
      <c r="D255">
        <v>21.5</v>
      </c>
      <c r="E255">
        <v>9.5</v>
      </c>
      <c r="F255">
        <v>20.780999999999999</v>
      </c>
      <c r="G255">
        <v>0</v>
      </c>
    </row>
    <row r="256" spans="1:7">
      <c r="A256" s="3">
        <f t="shared" si="3"/>
        <v>33494</v>
      </c>
      <c r="B256">
        <v>1991</v>
      </c>
      <c r="C256">
        <v>256</v>
      </c>
      <c r="D256">
        <v>23</v>
      </c>
      <c r="E256">
        <v>5.0999999999999996</v>
      </c>
      <c r="F256">
        <v>26.109000000000002</v>
      </c>
      <c r="G256">
        <v>0</v>
      </c>
    </row>
    <row r="257" spans="1:7">
      <c r="A257" s="3">
        <f t="shared" si="3"/>
        <v>33495</v>
      </c>
      <c r="B257">
        <v>1991</v>
      </c>
      <c r="C257">
        <v>257</v>
      </c>
      <c r="D257">
        <v>26.6</v>
      </c>
      <c r="E257">
        <v>1.9</v>
      </c>
      <c r="F257">
        <v>25.091999999999999</v>
      </c>
      <c r="G257">
        <v>0</v>
      </c>
    </row>
    <row r="258" spans="1:7">
      <c r="A258" s="3">
        <f t="shared" ref="A258:A321" si="4">DATE(B258,1,1)+C258-1</f>
        <v>33496</v>
      </c>
      <c r="B258">
        <v>1991</v>
      </c>
      <c r="C258">
        <v>258</v>
      </c>
      <c r="D258">
        <v>31.5</v>
      </c>
      <c r="E258">
        <v>4.4000000000000004</v>
      </c>
      <c r="F258">
        <v>25.478999999999999</v>
      </c>
      <c r="G258">
        <v>0</v>
      </c>
    </row>
    <row r="259" spans="1:7">
      <c r="A259" s="3">
        <f t="shared" si="4"/>
        <v>33497</v>
      </c>
      <c r="B259">
        <v>1991</v>
      </c>
      <c r="C259">
        <v>259</v>
      </c>
      <c r="D259">
        <v>32.799999999999997</v>
      </c>
      <c r="E259">
        <v>10.199999999999999</v>
      </c>
      <c r="F259">
        <v>23.59</v>
      </c>
      <c r="G259">
        <v>0</v>
      </c>
    </row>
    <row r="260" spans="1:7">
      <c r="A260" s="3">
        <f t="shared" si="4"/>
        <v>33498</v>
      </c>
      <c r="B260">
        <v>1991</v>
      </c>
      <c r="C260">
        <v>260</v>
      </c>
      <c r="D260">
        <v>30.3</v>
      </c>
      <c r="E260">
        <v>9.1999999999999993</v>
      </c>
      <c r="F260">
        <v>25.478999999999999</v>
      </c>
      <c r="G260">
        <v>0</v>
      </c>
    </row>
    <row r="261" spans="1:7">
      <c r="A261" s="3">
        <f t="shared" si="4"/>
        <v>33499</v>
      </c>
      <c r="B261">
        <v>1991</v>
      </c>
      <c r="C261">
        <v>261</v>
      </c>
      <c r="D261">
        <v>26.5</v>
      </c>
      <c r="E261">
        <v>6</v>
      </c>
      <c r="F261">
        <v>16.809000000000001</v>
      </c>
      <c r="G261">
        <v>0</v>
      </c>
    </row>
    <row r="262" spans="1:7">
      <c r="A262" s="3">
        <f t="shared" si="4"/>
        <v>33500</v>
      </c>
      <c r="B262">
        <v>1991</v>
      </c>
      <c r="C262">
        <v>262</v>
      </c>
      <c r="D262">
        <v>28</v>
      </c>
      <c r="E262">
        <v>8.9</v>
      </c>
      <c r="F262">
        <v>24.414000000000001</v>
      </c>
      <c r="G262">
        <v>0</v>
      </c>
    </row>
    <row r="263" spans="1:7">
      <c r="A263" s="3">
        <f t="shared" si="4"/>
        <v>33501</v>
      </c>
      <c r="B263">
        <v>1991</v>
      </c>
      <c r="C263">
        <v>263</v>
      </c>
      <c r="D263">
        <v>26.5</v>
      </c>
      <c r="E263">
        <v>11.7</v>
      </c>
      <c r="F263">
        <v>27.417000000000002</v>
      </c>
      <c r="G263">
        <v>0</v>
      </c>
    </row>
    <row r="264" spans="1:7">
      <c r="A264" s="3">
        <f t="shared" si="4"/>
        <v>33502</v>
      </c>
      <c r="B264">
        <v>1991</v>
      </c>
      <c r="C264">
        <v>264</v>
      </c>
      <c r="D264">
        <v>29</v>
      </c>
      <c r="E264">
        <v>3.5</v>
      </c>
      <c r="F264">
        <v>25.576000000000001</v>
      </c>
      <c r="G264">
        <v>0</v>
      </c>
    </row>
    <row r="265" spans="1:7">
      <c r="A265" s="3">
        <f t="shared" si="4"/>
        <v>33503</v>
      </c>
      <c r="B265">
        <v>1991</v>
      </c>
      <c r="C265">
        <v>265</v>
      </c>
      <c r="D265">
        <v>29.6</v>
      </c>
      <c r="E265">
        <v>4.5</v>
      </c>
      <c r="F265">
        <v>27.271999999999998</v>
      </c>
      <c r="G265">
        <v>0</v>
      </c>
    </row>
    <row r="266" spans="1:7">
      <c r="A266" s="3">
        <f t="shared" si="4"/>
        <v>33504</v>
      </c>
      <c r="B266">
        <v>1991</v>
      </c>
      <c r="C266">
        <v>266</v>
      </c>
      <c r="D266">
        <v>26.9</v>
      </c>
      <c r="E266">
        <v>9.8000000000000007</v>
      </c>
      <c r="F266">
        <v>27.707999999999998</v>
      </c>
      <c r="G266">
        <v>0</v>
      </c>
    </row>
    <row r="267" spans="1:7">
      <c r="A267" s="3">
        <f t="shared" si="4"/>
        <v>33505</v>
      </c>
      <c r="B267">
        <v>1991</v>
      </c>
      <c r="C267">
        <v>267</v>
      </c>
      <c r="D267">
        <v>30.9</v>
      </c>
      <c r="E267">
        <v>13.5</v>
      </c>
      <c r="F267">
        <v>24.995000000000001</v>
      </c>
      <c r="G267">
        <v>0</v>
      </c>
    </row>
    <row r="268" spans="1:7">
      <c r="A268" s="3">
        <f t="shared" si="4"/>
        <v>33506</v>
      </c>
      <c r="B268">
        <v>1991</v>
      </c>
      <c r="C268">
        <v>268</v>
      </c>
      <c r="D268">
        <v>27</v>
      </c>
      <c r="E268">
        <v>17.5</v>
      </c>
      <c r="F268">
        <v>21.992000000000001</v>
      </c>
      <c r="G268">
        <v>0</v>
      </c>
    </row>
    <row r="269" spans="1:7">
      <c r="A269" s="3">
        <f t="shared" si="4"/>
        <v>33507</v>
      </c>
      <c r="B269">
        <v>1991</v>
      </c>
      <c r="C269">
        <v>269</v>
      </c>
      <c r="D269">
        <v>32.5</v>
      </c>
      <c r="E269">
        <v>11.6</v>
      </c>
      <c r="F269">
        <v>18.988</v>
      </c>
      <c r="G269">
        <v>0</v>
      </c>
    </row>
    <row r="270" spans="1:7">
      <c r="A270" s="3">
        <f t="shared" si="4"/>
        <v>33508</v>
      </c>
      <c r="B270">
        <v>1991</v>
      </c>
      <c r="C270">
        <v>270</v>
      </c>
      <c r="D270">
        <v>34</v>
      </c>
      <c r="E270">
        <v>13.5</v>
      </c>
      <c r="F270">
        <v>12.449</v>
      </c>
      <c r="G270">
        <v>0</v>
      </c>
    </row>
    <row r="271" spans="1:7">
      <c r="A271" s="3">
        <f t="shared" si="4"/>
        <v>33509</v>
      </c>
      <c r="B271">
        <v>1991</v>
      </c>
      <c r="C271">
        <v>271</v>
      </c>
      <c r="D271">
        <v>32.6</v>
      </c>
      <c r="E271">
        <v>16.399999999999999</v>
      </c>
      <c r="F271">
        <v>25.672999999999998</v>
      </c>
      <c r="G271">
        <v>0</v>
      </c>
    </row>
    <row r="272" spans="1:7">
      <c r="A272" s="3">
        <f t="shared" si="4"/>
        <v>33510</v>
      </c>
      <c r="B272">
        <v>1991</v>
      </c>
      <c r="C272">
        <v>272</v>
      </c>
      <c r="D272">
        <v>32</v>
      </c>
      <c r="E272">
        <v>10.4</v>
      </c>
      <c r="F272">
        <v>27.805</v>
      </c>
      <c r="G272">
        <v>0</v>
      </c>
    </row>
    <row r="273" spans="1:7">
      <c r="A273" s="3">
        <f t="shared" si="4"/>
        <v>33511</v>
      </c>
      <c r="B273">
        <v>1991</v>
      </c>
      <c r="C273">
        <v>273</v>
      </c>
      <c r="D273">
        <v>32.200000000000003</v>
      </c>
      <c r="E273">
        <v>11</v>
      </c>
      <c r="F273">
        <v>30.905000000000001</v>
      </c>
      <c r="G273">
        <v>0</v>
      </c>
    </row>
    <row r="274" spans="1:7">
      <c r="A274" s="3">
        <f t="shared" si="4"/>
        <v>33512</v>
      </c>
      <c r="B274">
        <v>1991</v>
      </c>
      <c r="C274">
        <v>274</v>
      </c>
      <c r="D274">
        <v>30.4</v>
      </c>
      <c r="E274">
        <v>10.199999999999999</v>
      </c>
      <c r="F274">
        <v>27.901</v>
      </c>
      <c r="G274">
        <v>0</v>
      </c>
    </row>
    <row r="275" spans="1:7">
      <c r="A275" s="3">
        <f t="shared" si="4"/>
        <v>33513</v>
      </c>
      <c r="B275">
        <v>1991</v>
      </c>
      <c r="C275">
        <v>275</v>
      </c>
      <c r="D275">
        <v>32.4</v>
      </c>
      <c r="E275">
        <v>10</v>
      </c>
      <c r="F275">
        <v>24.995000000000001</v>
      </c>
      <c r="G275">
        <v>0</v>
      </c>
    </row>
    <row r="276" spans="1:7">
      <c r="A276" s="3">
        <f t="shared" si="4"/>
        <v>33514</v>
      </c>
      <c r="B276">
        <v>1991</v>
      </c>
      <c r="C276">
        <v>276</v>
      </c>
      <c r="D276">
        <v>30.9</v>
      </c>
      <c r="E276">
        <v>11.4</v>
      </c>
      <c r="F276">
        <v>31.097999999999999</v>
      </c>
      <c r="G276">
        <v>0</v>
      </c>
    </row>
    <row r="277" spans="1:7">
      <c r="A277" s="3">
        <f t="shared" si="4"/>
        <v>33515</v>
      </c>
      <c r="B277">
        <v>1991</v>
      </c>
      <c r="C277">
        <v>277</v>
      </c>
      <c r="D277">
        <v>29.7</v>
      </c>
      <c r="E277">
        <v>13.6</v>
      </c>
      <c r="F277">
        <v>24.608000000000001</v>
      </c>
      <c r="G277">
        <v>0</v>
      </c>
    </row>
    <row r="278" spans="1:7">
      <c r="A278" s="3">
        <f t="shared" si="4"/>
        <v>33516</v>
      </c>
      <c r="B278">
        <v>1991</v>
      </c>
      <c r="C278">
        <v>278</v>
      </c>
      <c r="D278">
        <v>28.4</v>
      </c>
      <c r="E278">
        <v>14.3</v>
      </c>
      <c r="F278">
        <v>23.59</v>
      </c>
      <c r="G278">
        <v>0</v>
      </c>
    </row>
    <row r="279" spans="1:7">
      <c r="A279" s="3">
        <f t="shared" si="4"/>
        <v>33517</v>
      </c>
      <c r="B279">
        <v>1991</v>
      </c>
      <c r="C279">
        <v>279</v>
      </c>
      <c r="D279">
        <v>29</v>
      </c>
      <c r="E279">
        <v>11.4</v>
      </c>
      <c r="F279">
        <v>27.175000000000001</v>
      </c>
      <c r="G279">
        <v>0</v>
      </c>
    </row>
    <row r="280" spans="1:7">
      <c r="A280" s="3">
        <f t="shared" si="4"/>
        <v>33518</v>
      </c>
      <c r="B280">
        <v>1991</v>
      </c>
      <c r="C280">
        <v>280</v>
      </c>
      <c r="D280">
        <v>32.799999999999997</v>
      </c>
      <c r="E280">
        <v>10.6</v>
      </c>
      <c r="F280">
        <v>29.791</v>
      </c>
      <c r="G280">
        <v>0</v>
      </c>
    </row>
    <row r="281" spans="1:7">
      <c r="A281" s="3">
        <f t="shared" si="4"/>
        <v>33519</v>
      </c>
      <c r="B281">
        <v>1991</v>
      </c>
      <c r="C281">
        <v>281</v>
      </c>
      <c r="D281">
        <v>32.200000000000003</v>
      </c>
      <c r="E281">
        <v>15.5</v>
      </c>
      <c r="F281">
        <v>27.32</v>
      </c>
      <c r="G281">
        <v>1.1000000000000001</v>
      </c>
    </row>
    <row r="282" spans="1:7">
      <c r="A282" s="3">
        <f t="shared" si="4"/>
        <v>33520</v>
      </c>
      <c r="B282">
        <v>1991</v>
      </c>
      <c r="C282">
        <v>282</v>
      </c>
      <c r="D282">
        <v>32.1</v>
      </c>
      <c r="E282">
        <v>15.3</v>
      </c>
      <c r="F282">
        <v>21.314</v>
      </c>
      <c r="G282">
        <v>0.8</v>
      </c>
    </row>
    <row r="283" spans="1:7">
      <c r="A283" s="3">
        <f t="shared" si="4"/>
        <v>33521</v>
      </c>
      <c r="B283">
        <v>1991</v>
      </c>
      <c r="C283">
        <v>283</v>
      </c>
      <c r="D283">
        <v>27.2</v>
      </c>
      <c r="E283">
        <v>13.5</v>
      </c>
      <c r="F283">
        <v>28.821999999999999</v>
      </c>
      <c r="G283">
        <v>3.2</v>
      </c>
    </row>
    <row r="284" spans="1:7">
      <c r="A284" s="3">
        <f t="shared" si="4"/>
        <v>33522</v>
      </c>
      <c r="B284">
        <v>1991</v>
      </c>
      <c r="C284">
        <v>284</v>
      </c>
      <c r="D284">
        <v>28.3</v>
      </c>
      <c r="E284">
        <v>13.9</v>
      </c>
      <c r="F284">
        <v>24.704000000000001</v>
      </c>
      <c r="G284">
        <v>9.8000000000000007</v>
      </c>
    </row>
    <row r="285" spans="1:7">
      <c r="A285" s="3">
        <f t="shared" si="4"/>
        <v>33523</v>
      </c>
      <c r="B285">
        <v>1991</v>
      </c>
      <c r="C285">
        <v>285</v>
      </c>
      <c r="D285">
        <v>29.5</v>
      </c>
      <c r="E285">
        <v>16.2</v>
      </c>
      <c r="F285">
        <v>23.687000000000001</v>
      </c>
      <c r="G285">
        <v>0</v>
      </c>
    </row>
    <row r="286" spans="1:7">
      <c r="A286" s="3">
        <f t="shared" si="4"/>
        <v>33524</v>
      </c>
      <c r="B286">
        <v>1991</v>
      </c>
      <c r="C286">
        <v>286</v>
      </c>
      <c r="D286">
        <v>33</v>
      </c>
      <c r="E286">
        <v>12.3</v>
      </c>
      <c r="F286">
        <v>28.821999999999999</v>
      </c>
      <c r="G286">
        <v>0</v>
      </c>
    </row>
    <row r="287" spans="1:7">
      <c r="A287" s="3">
        <f t="shared" si="4"/>
        <v>33525</v>
      </c>
      <c r="B287">
        <v>1991</v>
      </c>
      <c r="C287">
        <v>287</v>
      </c>
      <c r="D287">
        <v>29.8</v>
      </c>
      <c r="E287">
        <v>14.6</v>
      </c>
      <c r="F287">
        <v>28.675999999999998</v>
      </c>
      <c r="G287">
        <v>0</v>
      </c>
    </row>
    <row r="288" spans="1:7">
      <c r="A288" s="3">
        <f t="shared" si="4"/>
        <v>33526</v>
      </c>
      <c r="B288">
        <v>1991</v>
      </c>
      <c r="C288">
        <v>288</v>
      </c>
      <c r="D288">
        <v>31</v>
      </c>
      <c r="E288">
        <v>19.100000000000001</v>
      </c>
      <c r="F288">
        <v>27.077999999999999</v>
      </c>
      <c r="G288">
        <v>0</v>
      </c>
    </row>
    <row r="289" spans="1:7">
      <c r="A289" s="3">
        <f t="shared" si="4"/>
        <v>33527</v>
      </c>
      <c r="B289">
        <v>1991</v>
      </c>
      <c r="C289">
        <v>289</v>
      </c>
      <c r="D289">
        <v>36.9</v>
      </c>
      <c r="E289">
        <v>14.2</v>
      </c>
      <c r="F289">
        <v>28.289000000000001</v>
      </c>
      <c r="G289">
        <v>0</v>
      </c>
    </row>
    <row r="290" spans="1:7">
      <c r="A290" s="3">
        <f t="shared" si="4"/>
        <v>33528</v>
      </c>
      <c r="B290">
        <v>1991</v>
      </c>
      <c r="C290">
        <v>290</v>
      </c>
      <c r="D290">
        <v>28</v>
      </c>
      <c r="E290">
        <v>16.7</v>
      </c>
      <c r="F290">
        <v>25.189</v>
      </c>
      <c r="G290">
        <v>0</v>
      </c>
    </row>
    <row r="291" spans="1:7">
      <c r="A291" s="3">
        <f t="shared" si="4"/>
        <v>33529</v>
      </c>
      <c r="B291">
        <v>1991</v>
      </c>
      <c r="C291">
        <v>291</v>
      </c>
      <c r="D291">
        <v>23.4</v>
      </c>
      <c r="E291">
        <v>14</v>
      </c>
      <c r="F291">
        <v>15.113</v>
      </c>
      <c r="G291">
        <v>9.3000000000000007</v>
      </c>
    </row>
    <row r="292" spans="1:7">
      <c r="A292" s="3">
        <f t="shared" si="4"/>
        <v>33530</v>
      </c>
      <c r="B292">
        <v>1991</v>
      </c>
      <c r="C292">
        <v>292</v>
      </c>
      <c r="D292">
        <v>26.7</v>
      </c>
      <c r="E292">
        <v>10.6</v>
      </c>
      <c r="F292">
        <v>31.195</v>
      </c>
      <c r="G292">
        <v>0</v>
      </c>
    </row>
    <row r="293" spans="1:7">
      <c r="A293" s="3">
        <f t="shared" si="4"/>
        <v>33531</v>
      </c>
      <c r="B293">
        <v>1991</v>
      </c>
      <c r="C293">
        <v>293</v>
      </c>
      <c r="D293">
        <v>28.5</v>
      </c>
      <c r="E293">
        <v>12.7</v>
      </c>
      <c r="F293">
        <v>7.024</v>
      </c>
      <c r="G293">
        <v>0</v>
      </c>
    </row>
    <row r="294" spans="1:7">
      <c r="A294" s="3">
        <f t="shared" si="4"/>
        <v>33532</v>
      </c>
      <c r="B294">
        <v>1991</v>
      </c>
      <c r="C294">
        <v>294</v>
      </c>
      <c r="D294">
        <v>30.5</v>
      </c>
      <c r="E294">
        <v>15.6</v>
      </c>
      <c r="F294">
        <v>28.919</v>
      </c>
      <c r="G294">
        <v>0</v>
      </c>
    </row>
    <row r="295" spans="1:7">
      <c r="A295" s="3">
        <f t="shared" si="4"/>
        <v>33533</v>
      </c>
      <c r="B295">
        <v>1991</v>
      </c>
      <c r="C295">
        <v>295</v>
      </c>
      <c r="D295">
        <v>33</v>
      </c>
      <c r="E295">
        <v>14.5</v>
      </c>
      <c r="F295">
        <v>28.675999999999998</v>
      </c>
      <c r="G295">
        <v>0</v>
      </c>
    </row>
    <row r="296" spans="1:7">
      <c r="A296" s="3">
        <f t="shared" si="4"/>
        <v>33534</v>
      </c>
      <c r="B296">
        <v>1991</v>
      </c>
      <c r="C296">
        <v>296</v>
      </c>
      <c r="D296">
        <v>22.2</v>
      </c>
      <c r="E296">
        <v>19.5</v>
      </c>
      <c r="F296">
        <v>22.911999999999999</v>
      </c>
      <c r="G296">
        <v>4.5999999999999996</v>
      </c>
    </row>
    <row r="297" spans="1:7">
      <c r="A297" s="3">
        <f t="shared" si="4"/>
        <v>33535</v>
      </c>
      <c r="B297">
        <v>1991</v>
      </c>
      <c r="C297">
        <v>297</v>
      </c>
      <c r="D297">
        <v>21.5</v>
      </c>
      <c r="E297">
        <v>15.5</v>
      </c>
      <c r="F297">
        <v>14.677</v>
      </c>
      <c r="G297">
        <v>22.6</v>
      </c>
    </row>
    <row r="298" spans="1:7">
      <c r="A298" s="3">
        <f t="shared" si="4"/>
        <v>33536</v>
      </c>
      <c r="B298">
        <v>1991</v>
      </c>
      <c r="C298">
        <v>298</v>
      </c>
      <c r="D298">
        <v>27.7</v>
      </c>
      <c r="E298">
        <v>16.600000000000001</v>
      </c>
      <c r="F298">
        <v>7.702</v>
      </c>
      <c r="G298">
        <v>0.2</v>
      </c>
    </row>
    <row r="299" spans="1:7">
      <c r="A299" s="3">
        <f t="shared" si="4"/>
        <v>33537</v>
      </c>
      <c r="B299">
        <v>1991</v>
      </c>
      <c r="C299">
        <v>299</v>
      </c>
      <c r="D299">
        <v>31.7</v>
      </c>
      <c r="E299">
        <v>12.8</v>
      </c>
      <c r="F299">
        <v>19.085000000000001</v>
      </c>
      <c r="G299">
        <v>4.7</v>
      </c>
    </row>
    <row r="300" spans="1:7">
      <c r="A300" s="3">
        <f t="shared" si="4"/>
        <v>33538</v>
      </c>
      <c r="B300">
        <v>1991</v>
      </c>
      <c r="C300">
        <v>300</v>
      </c>
      <c r="D300">
        <v>30.5</v>
      </c>
      <c r="E300">
        <v>11.4</v>
      </c>
      <c r="F300">
        <v>28.919</v>
      </c>
      <c r="G300">
        <v>0</v>
      </c>
    </row>
    <row r="301" spans="1:7">
      <c r="A301" s="3">
        <f t="shared" si="4"/>
        <v>33539</v>
      </c>
      <c r="B301">
        <v>1991</v>
      </c>
      <c r="C301">
        <v>301</v>
      </c>
      <c r="D301">
        <v>26.5</v>
      </c>
      <c r="E301">
        <v>12</v>
      </c>
      <c r="F301">
        <v>32.697000000000003</v>
      </c>
      <c r="G301">
        <v>0</v>
      </c>
    </row>
    <row r="302" spans="1:7">
      <c r="A302" s="3">
        <f t="shared" si="4"/>
        <v>33540</v>
      </c>
      <c r="B302">
        <v>1991</v>
      </c>
      <c r="C302">
        <v>302</v>
      </c>
      <c r="D302">
        <v>26.5</v>
      </c>
      <c r="E302">
        <v>10.9</v>
      </c>
      <c r="F302">
        <v>34.198999999999998</v>
      </c>
      <c r="G302">
        <v>0</v>
      </c>
    </row>
    <row r="303" spans="1:7">
      <c r="A303" s="3">
        <f t="shared" si="4"/>
        <v>33541</v>
      </c>
      <c r="B303">
        <v>1991</v>
      </c>
      <c r="C303">
        <v>303</v>
      </c>
      <c r="D303">
        <v>26</v>
      </c>
      <c r="E303">
        <v>15.4</v>
      </c>
      <c r="F303">
        <v>26.594000000000001</v>
      </c>
      <c r="G303">
        <v>0</v>
      </c>
    </row>
    <row r="304" spans="1:7">
      <c r="A304" s="3">
        <f t="shared" si="4"/>
        <v>33542</v>
      </c>
      <c r="B304">
        <v>1991</v>
      </c>
      <c r="C304">
        <v>304</v>
      </c>
      <c r="D304">
        <v>31</v>
      </c>
      <c r="E304">
        <v>12.1</v>
      </c>
      <c r="F304">
        <v>19.812000000000001</v>
      </c>
      <c r="G304">
        <v>0</v>
      </c>
    </row>
    <row r="305" spans="1:7">
      <c r="A305" s="3">
        <f t="shared" si="4"/>
        <v>33543</v>
      </c>
      <c r="B305">
        <v>1991</v>
      </c>
      <c r="C305">
        <v>305</v>
      </c>
      <c r="D305">
        <v>30.2</v>
      </c>
      <c r="E305">
        <v>18.5</v>
      </c>
      <c r="F305">
        <v>31.097999999999999</v>
      </c>
      <c r="G305">
        <v>0</v>
      </c>
    </row>
    <row r="306" spans="1:7">
      <c r="A306" s="3">
        <f t="shared" si="4"/>
        <v>33544</v>
      </c>
      <c r="B306">
        <v>1991</v>
      </c>
      <c r="C306">
        <v>306</v>
      </c>
      <c r="D306">
        <v>28.6</v>
      </c>
      <c r="E306">
        <v>19.600000000000001</v>
      </c>
      <c r="F306">
        <v>18.117000000000001</v>
      </c>
      <c r="G306">
        <v>0</v>
      </c>
    </row>
    <row r="307" spans="1:7">
      <c r="A307" s="3">
        <f t="shared" si="4"/>
        <v>33545</v>
      </c>
      <c r="B307">
        <v>1991</v>
      </c>
      <c r="C307">
        <v>307</v>
      </c>
      <c r="D307">
        <v>29</v>
      </c>
      <c r="E307">
        <v>19.3</v>
      </c>
      <c r="F307">
        <v>24.995000000000001</v>
      </c>
      <c r="G307">
        <v>0</v>
      </c>
    </row>
    <row r="308" spans="1:7">
      <c r="A308" s="3">
        <f t="shared" si="4"/>
        <v>33546</v>
      </c>
      <c r="B308">
        <v>1991</v>
      </c>
      <c r="C308">
        <v>308</v>
      </c>
      <c r="D308">
        <v>34</v>
      </c>
      <c r="E308">
        <v>15.6</v>
      </c>
      <c r="F308">
        <v>28.385999999999999</v>
      </c>
      <c r="G308">
        <v>0</v>
      </c>
    </row>
    <row r="309" spans="1:7">
      <c r="A309" s="3">
        <f t="shared" si="4"/>
        <v>33547</v>
      </c>
      <c r="B309">
        <v>1991</v>
      </c>
      <c r="C309">
        <v>309</v>
      </c>
      <c r="D309">
        <v>36</v>
      </c>
      <c r="E309">
        <v>17.899999999999999</v>
      </c>
      <c r="F309">
        <v>28.821999999999999</v>
      </c>
      <c r="G309">
        <v>0</v>
      </c>
    </row>
    <row r="310" spans="1:7">
      <c r="A310" s="3">
        <f t="shared" si="4"/>
        <v>33548</v>
      </c>
      <c r="B310">
        <v>1991</v>
      </c>
      <c r="C310">
        <v>310</v>
      </c>
      <c r="D310">
        <v>33.6</v>
      </c>
      <c r="E310">
        <v>13.1</v>
      </c>
      <c r="F310">
        <v>31.097999999999999</v>
      </c>
      <c r="G310">
        <v>0</v>
      </c>
    </row>
    <row r="311" spans="1:7">
      <c r="A311" s="3">
        <f t="shared" si="4"/>
        <v>33549</v>
      </c>
      <c r="B311">
        <v>1991</v>
      </c>
      <c r="C311">
        <v>311</v>
      </c>
      <c r="D311">
        <v>41</v>
      </c>
      <c r="E311">
        <v>16.600000000000001</v>
      </c>
      <c r="F311">
        <v>32.018999999999998</v>
      </c>
      <c r="G311">
        <v>0</v>
      </c>
    </row>
    <row r="312" spans="1:7">
      <c r="A312" s="3">
        <f t="shared" si="4"/>
        <v>33550</v>
      </c>
      <c r="B312">
        <v>1991</v>
      </c>
      <c r="C312">
        <v>312</v>
      </c>
      <c r="D312">
        <v>32.4</v>
      </c>
      <c r="E312">
        <v>23.2</v>
      </c>
      <c r="F312">
        <v>24.510999999999999</v>
      </c>
      <c r="G312">
        <v>0</v>
      </c>
    </row>
    <row r="313" spans="1:7">
      <c r="A313" s="3">
        <f t="shared" si="4"/>
        <v>33551</v>
      </c>
      <c r="B313">
        <v>1991</v>
      </c>
      <c r="C313">
        <v>313</v>
      </c>
      <c r="D313">
        <v>34.5</v>
      </c>
      <c r="E313">
        <v>19.899999999999999</v>
      </c>
      <c r="F313">
        <v>11.093</v>
      </c>
      <c r="G313">
        <v>0.1</v>
      </c>
    </row>
    <row r="314" spans="1:7">
      <c r="A314" s="3">
        <f t="shared" si="4"/>
        <v>33552</v>
      </c>
      <c r="B314">
        <v>1991</v>
      </c>
      <c r="C314">
        <v>314</v>
      </c>
      <c r="D314">
        <v>31.3</v>
      </c>
      <c r="E314">
        <v>15.9</v>
      </c>
      <c r="F314">
        <v>33.423999999999999</v>
      </c>
      <c r="G314">
        <v>0</v>
      </c>
    </row>
    <row r="315" spans="1:7">
      <c r="A315" s="3">
        <f t="shared" si="4"/>
        <v>33553</v>
      </c>
      <c r="B315">
        <v>1991</v>
      </c>
      <c r="C315">
        <v>315</v>
      </c>
      <c r="D315">
        <v>33.200000000000003</v>
      </c>
      <c r="E315">
        <v>18</v>
      </c>
      <c r="F315">
        <v>35.216000000000001</v>
      </c>
      <c r="G315">
        <v>0</v>
      </c>
    </row>
    <row r="316" spans="1:7">
      <c r="A316" s="3">
        <f t="shared" si="4"/>
        <v>33554</v>
      </c>
      <c r="B316">
        <v>1991</v>
      </c>
      <c r="C316">
        <v>316</v>
      </c>
      <c r="D316">
        <v>33</v>
      </c>
      <c r="E316">
        <v>19.600000000000001</v>
      </c>
      <c r="F316">
        <v>21.216999999999999</v>
      </c>
      <c r="G316">
        <v>0</v>
      </c>
    </row>
    <row r="317" spans="1:7">
      <c r="A317" s="3">
        <f t="shared" si="4"/>
        <v>33555</v>
      </c>
      <c r="B317">
        <v>1991</v>
      </c>
      <c r="C317">
        <v>317</v>
      </c>
      <c r="D317">
        <v>36.799999999999997</v>
      </c>
      <c r="E317">
        <v>17.7</v>
      </c>
      <c r="F317">
        <v>26.497</v>
      </c>
      <c r="G317">
        <v>0.4</v>
      </c>
    </row>
    <row r="318" spans="1:7">
      <c r="A318" s="3">
        <f t="shared" si="4"/>
        <v>33556</v>
      </c>
      <c r="B318">
        <v>1991</v>
      </c>
      <c r="C318">
        <v>318</v>
      </c>
      <c r="D318">
        <v>28.6</v>
      </c>
      <c r="E318">
        <v>18.899999999999999</v>
      </c>
      <c r="F318">
        <v>28.58</v>
      </c>
      <c r="G318">
        <v>0</v>
      </c>
    </row>
    <row r="319" spans="1:7">
      <c r="A319" s="3">
        <f t="shared" si="4"/>
        <v>33557</v>
      </c>
      <c r="B319">
        <v>1991</v>
      </c>
      <c r="C319">
        <v>319</v>
      </c>
      <c r="D319">
        <v>27.4</v>
      </c>
      <c r="E319">
        <v>18.7</v>
      </c>
      <c r="F319">
        <v>24.704000000000001</v>
      </c>
      <c r="G319">
        <v>0</v>
      </c>
    </row>
    <row r="320" spans="1:7">
      <c r="A320" s="3">
        <f t="shared" si="4"/>
        <v>33558</v>
      </c>
      <c r="B320">
        <v>1991</v>
      </c>
      <c r="C320">
        <v>320</v>
      </c>
      <c r="D320">
        <v>28.3</v>
      </c>
      <c r="E320">
        <v>17.5</v>
      </c>
      <c r="F320">
        <v>15.500999999999999</v>
      </c>
      <c r="G320">
        <v>0</v>
      </c>
    </row>
    <row r="321" spans="1:7">
      <c r="A321" s="3">
        <f t="shared" si="4"/>
        <v>33559</v>
      </c>
      <c r="B321">
        <v>1991</v>
      </c>
      <c r="C321">
        <v>321</v>
      </c>
      <c r="D321">
        <v>30.9</v>
      </c>
      <c r="E321">
        <v>15.6</v>
      </c>
      <c r="F321">
        <v>18.698</v>
      </c>
      <c r="G321">
        <v>6.4</v>
      </c>
    </row>
    <row r="322" spans="1:7">
      <c r="A322" s="3">
        <f t="shared" ref="A322:A385" si="5">DATE(B322,1,1)+C322-1</f>
        <v>33560</v>
      </c>
      <c r="B322">
        <v>1991</v>
      </c>
      <c r="C322">
        <v>322</v>
      </c>
      <c r="D322">
        <v>31.5</v>
      </c>
      <c r="E322">
        <v>19.5</v>
      </c>
      <c r="F322">
        <v>32.697000000000003</v>
      </c>
      <c r="G322">
        <v>0</v>
      </c>
    </row>
    <row r="323" spans="1:7">
      <c r="A323" s="3">
        <f t="shared" si="5"/>
        <v>33561</v>
      </c>
      <c r="B323">
        <v>1991</v>
      </c>
      <c r="C323">
        <v>323</v>
      </c>
      <c r="D323">
        <v>31.5</v>
      </c>
      <c r="E323">
        <v>18.899999999999999</v>
      </c>
      <c r="F323">
        <v>29.597000000000001</v>
      </c>
      <c r="G323">
        <v>0</v>
      </c>
    </row>
    <row r="324" spans="1:7">
      <c r="A324" s="3">
        <f t="shared" si="5"/>
        <v>33562</v>
      </c>
      <c r="B324">
        <v>1991</v>
      </c>
      <c r="C324">
        <v>324</v>
      </c>
      <c r="D324">
        <v>34.4</v>
      </c>
      <c r="E324">
        <v>13.1</v>
      </c>
      <c r="F324">
        <v>34.005000000000003</v>
      </c>
      <c r="G324">
        <v>0</v>
      </c>
    </row>
    <row r="325" spans="1:7">
      <c r="A325" s="3">
        <f t="shared" si="5"/>
        <v>33563</v>
      </c>
      <c r="B325">
        <v>1991</v>
      </c>
      <c r="C325">
        <v>325</v>
      </c>
      <c r="D325">
        <v>28</v>
      </c>
      <c r="E325">
        <v>21.4</v>
      </c>
      <c r="F325">
        <v>31.292000000000002</v>
      </c>
      <c r="G325">
        <v>0</v>
      </c>
    </row>
    <row r="326" spans="1:7">
      <c r="A326" s="3">
        <f t="shared" si="5"/>
        <v>33564</v>
      </c>
      <c r="B326">
        <v>1991</v>
      </c>
      <c r="C326">
        <v>326</v>
      </c>
      <c r="D326">
        <v>28.3</v>
      </c>
      <c r="E326">
        <v>16.600000000000001</v>
      </c>
      <c r="F326">
        <v>9.4939999999999998</v>
      </c>
      <c r="G326">
        <v>3.6</v>
      </c>
    </row>
    <row r="327" spans="1:7">
      <c r="A327" s="3">
        <f t="shared" si="5"/>
        <v>33565</v>
      </c>
      <c r="B327">
        <v>1991</v>
      </c>
      <c r="C327">
        <v>327</v>
      </c>
      <c r="D327">
        <v>28.3</v>
      </c>
      <c r="E327">
        <v>10.9</v>
      </c>
      <c r="F327">
        <v>23.202999999999999</v>
      </c>
      <c r="G327">
        <v>0</v>
      </c>
    </row>
    <row r="328" spans="1:7">
      <c r="A328" s="3">
        <f t="shared" si="5"/>
        <v>33566</v>
      </c>
      <c r="B328">
        <v>1991</v>
      </c>
      <c r="C328">
        <v>328</v>
      </c>
      <c r="D328">
        <v>29.3</v>
      </c>
      <c r="E328">
        <v>12.6</v>
      </c>
      <c r="F328">
        <v>33.472000000000001</v>
      </c>
      <c r="G328">
        <v>0</v>
      </c>
    </row>
    <row r="329" spans="1:7">
      <c r="A329" s="3">
        <f t="shared" si="5"/>
        <v>33567</v>
      </c>
      <c r="B329">
        <v>1991</v>
      </c>
      <c r="C329">
        <v>329</v>
      </c>
      <c r="D329">
        <v>30.4</v>
      </c>
      <c r="E329">
        <v>13.8</v>
      </c>
      <c r="F329">
        <v>32.454999999999998</v>
      </c>
      <c r="G329">
        <v>0</v>
      </c>
    </row>
    <row r="330" spans="1:7">
      <c r="A330" s="3">
        <f t="shared" si="5"/>
        <v>33568</v>
      </c>
      <c r="B330">
        <v>1991</v>
      </c>
      <c r="C330">
        <v>330</v>
      </c>
      <c r="D330">
        <v>32</v>
      </c>
      <c r="E330">
        <v>13.9</v>
      </c>
      <c r="F330">
        <v>33.375</v>
      </c>
      <c r="G330">
        <v>0</v>
      </c>
    </row>
    <row r="331" spans="1:7">
      <c r="A331" s="3">
        <f t="shared" si="5"/>
        <v>33569</v>
      </c>
      <c r="B331">
        <v>1991</v>
      </c>
      <c r="C331">
        <v>331</v>
      </c>
      <c r="D331">
        <v>35.299999999999997</v>
      </c>
      <c r="E331">
        <v>16.2</v>
      </c>
      <c r="F331">
        <v>31.001999999999999</v>
      </c>
      <c r="G331">
        <v>0</v>
      </c>
    </row>
    <row r="332" spans="1:7">
      <c r="A332" s="3">
        <f t="shared" si="5"/>
        <v>33570</v>
      </c>
      <c r="B332">
        <v>1991</v>
      </c>
      <c r="C332">
        <v>332</v>
      </c>
      <c r="D332">
        <v>27.5</v>
      </c>
      <c r="E332">
        <v>19.600000000000001</v>
      </c>
      <c r="F332">
        <v>27.611000000000001</v>
      </c>
      <c r="G332">
        <v>18.399999999999999</v>
      </c>
    </row>
    <row r="333" spans="1:7">
      <c r="A333" s="3">
        <f t="shared" si="5"/>
        <v>33571</v>
      </c>
      <c r="B333">
        <v>1991</v>
      </c>
      <c r="C333">
        <v>333</v>
      </c>
      <c r="D333">
        <v>31.5</v>
      </c>
      <c r="E333">
        <v>19.8</v>
      </c>
      <c r="F333">
        <v>18.988</v>
      </c>
      <c r="G333">
        <v>0.1</v>
      </c>
    </row>
    <row r="334" spans="1:7">
      <c r="A334" s="3">
        <f t="shared" si="5"/>
        <v>33572</v>
      </c>
      <c r="B334">
        <v>1991</v>
      </c>
      <c r="C334">
        <v>334</v>
      </c>
      <c r="D334">
        <v>31.2</v>
      </c>
      <c r="E334">
        <v>17.5</v>
      </c>
      <c r="F334">
        <v>18.988</v>
      </c>
      <c r="G334">
        <v>45.2</v>
      </c>
    </row>
    <row r="335" spans="1:7">
      <c r="A335" s="3">
        <f t="shared" si="5"/>
        <v>33573</v>
      </c>
      <c r="B335">
        <v>1991</v>
      </c>
      <c r="C335">
        <v>335</v>
      </c>
      <c r="D335">
        <v>27.9</v>
      </c>
      <c r="E335">
        <v>16.5</v>
      </c>
      <c r="F335">
        <v>3.9239999999999999</v>
      </c>
      <c r="G335">
        <v>14.2</v>
      </c>
    </row>
    <row r="336" spans="1:7">
      <c r="A336" s="3">
        <f t="shared" si="5"/>
        <v>33574</v>
      </c>
      <c r="B336">
        <v>1991</v>
      </c>
      <c r="C336">
        <v>336</v>
      </c>
      <c r="D336">
        <v>26.5</v>
      </c>
      <c r="E336">
        <v>17.600000000000001</v>
      </c>
      <c r="F336">
        <v>21.314</v>
      </c>
      <c r="G336">
        <v>10.3</v>
      </c>
    </row>
    <row r="337" spans="1:7">
      <c r="A337" s="3">
        <f t="shared" si="5"/>
        <v>33575</v>
      </c>
      <c r="B337">
        <v>1991</v>
      </c>
      <c r="C337">
        <v>337</v>
      </c>
      <c r="D337">
        <v>28.7</v>
      </c>
      <c r="E337">
        <v>16</v>
      </c>
      <c r="F337">
        <v>20.103000000000002</v>
      </c>
      <c r="G337">
        <v>0.1</v>
      </c>
    </row>
    <row r="338" spans="1:7">
      <c r="A338" s="3">
        <f t="shared" si="5"/>
        <v>33576</v>
      </c>
      <c r="B338">
        <v>1991</v>
      </c>
      <c r="C338">
        <v>338</v>
      </c>
      <c r="D338">
        <v>36</v>
      </c>
      <c r="E338">
        <v>16.5</v>
      </c>
      <c r="F338">
        <v>33.713999999999999</v>
      </c>
      <c r="G338">
        <v>0</v>
      </c>
    </row>
    <row r="339" spans="1:7">
      <c r="A339" s="3">
        <f t="shared" si="5"/>
        <v>33577</v>
      </c>
      <c r="B339">
        <v>1991</v>
      </c>
      <c r="C339">
        <v>339</v>
      </c>
      <c r="D339">
        <v>32.5</v>
      </c>
      <c r="E339">
        <v>16.5</v>
      </c>
      <c r="F339">
        <v>32.890999999999998</v>
      </c>
      <c r="G339">
        <v>0</v>
      </c>
    </row>
    <row r="340" spans="1:7">
      <c r="A340" s="3">
        <f t="shared" si="5"/>
        <v>33578</v>
      </c>
      <c r="B340">
        <v>1991</v>
      </c>
      <c r="C340">
        <v>340</v>
      </c>
      <c r="D340">
        <v>29.5</v>
      </c>
      <c r="E340">
        <v>19.8</v>
      </c>
      <c r="F340">
        <v>29.209</v>
      </c>
      <c r="G340">
        <v>0</v>
      </c>
    </row>
    <row r="341" spans="1:7">
      <c r="A341" s="3">
        <f t="shared" si="5"/>
        <v>33579</v>
      </c>
      <c r="B341">
        <v>1991</v>
      </c>
      <c r="C341">
        <v>341</v>
      </c>
      <c r="D341">
        <v>30</v>
      </c>
      <c r="E341">
        <v>18.5</v>
      </c>
      <c r="F341">
        <v>32.018999999999998</v>
      </c>
      <c r="G341">
        <v>0</v>
      </c>
    </row>
    <row r="342" spans="1:7">
      <c r="A342" s="3">
        <f t="shared" si="5"/>
        <v>33580</v>
      </c>
      <c r="B342">
        <v>1991</v>
      </c>
      <c r="C342">
        <v>342</v>
      </c>
      <c r="D342">
        <v>27</v>
      </c>
      <c r="E342">
        <v>15</v>
      </c>
      <c r="F342">
        <v>22.282</v>
      </c>
      <c r="G342">
        <v>28</v>
      </c>
    </row>
    <row r="343" spans="1:7">
      <c r="A343" s="3">
        <f t="shared" si="5"/>
        <v>33581</v>
      </c>
      <c r="B343">
        <v>1991</v>
      </c>
      <c r="C343">
        <v>343</v>
      </c>
      <c r="D343">
        <v>28.8</v>
      </c>
      <c r="E343">
        <v>16.100000000000001</v>
      </c>
      <c r="F343">
        <v>24.510999999999999</v>
      </c>
      <c r="G343">
        <v>0.4</v>
      </c>
    </row>
    <row r="344" spans="1:7">
      <c r="A344" s="3">
        <f t="shared" si="5"/>
        <v>33582</v>
      </c>
      <c r="B344">
        <v>1991</v>
      </c>
      <c r="C344">
        <v>344</v>
      </c>
      <c r="D344">
        <v>28.7</v>
      </c>
      <c r="E344">
        <v>17.399999999999999</v>
      </c>
      <c r="F344">
        <v>31.097999999999999</v>
      </c>
      <c r="G344">
        <v>0</v>
      </c>
    </row>
    <row r="345" spans="1:7">
      <c r="A345" s="3">
        <f t="shared" si="5"/>
        <v>33583</v>
      </c>
      <c r="B345">
        <v>1991</v>
      </c>
      <c r="C345">
        <v>345</v>
      </c>
      <c r="D345">
        <v>27</v>
      </c>
      <c r="E345">
        <v>18.899999999999999</v>
      </c>
      <c r="F345">
        <v>26.594000000000001</v>
      </c>
      <c r="G345">
        <v>2.4</v>
      </c>
    </row>
    <row r="346" spans="1:7">
      <c r="A346" s="3">
        <f t="shared" si="5"/>
        <v>33584</v>
      </c>
      <c r="B346">
        <v>1991</v>
      </c>
      <c r="C346">
        <v>346</v>
      </c>
      <c r="D346">
        <v>21.5</v>
      </c>
      <c r="E346">
        <v>18.3</v>
      </c>
      <c r="F346">
        <v>4.6989999999999998</v>
      </c>
      <c r="G346">
        <v>108.8</v>
      </c>
    </row>
    <row r="347" spans="1:7">
      <c r="A347" s="3">
        <f t="shared" si="5"/>
        <v>33585</v>
      </c>
      <c r="B347">
        <v>1991</v>
      </c>
      <c r="C347">
        <v>347</v>
      </c>
      <c r="D347">
        <v>29</v>
      </c>
      <c r="E347">
        <v>19.100000000000001</v>
      </c>
      <c r="F347">
        <v>6.3940000000000001</v>
      </c>
      <c r="G347">
        <v>23.3</v>
      </c>
    </row>
    <row r="348" spans="1:7">
      <c r="A348" s="3">
        <f t="shared" si="5"/>
        <v>33586</v>
      </c>
      <c r="B348">
        <v>1991</v>
      </c>
      <c r="C348">
        <v>348</v>
      </c>
      <c r="D348">
        <v>32.5</v>
      </c>
      <c r="E348">
        <v>19</v>
      </c>
      <c r="F348">
        <v>14.677</v>
      </c>
      <c r="G348">
        <v>14</v>
      </c>
    </row>
    <row r="349" spans="1:7">
      <c r="A349" s="3">
        <f t="shared" si="5"/>
        <v>33587</v>
      </c>
      <c r="B349">
        <v>1991</v>
      </c>
      <c r="C349">
        <v>349</v>
      </c>
      <c r="D349">
        <v>32.6</v>
      </c>
      <c r="E349">
        <v>20.5</v>
      </c>
      <c r="F349">
        <v>28.919</v>
      </c>
      <c r="G349">
        <v>0</v>
      </c>
    </row>
    <row r="350" spans="1:7">
      <c r="A350" s="3">
        <f t="shared" si="5"/>
        <v>33588</v>
      </c>
      <c r="B350">
        <v>1991</v>
      </c>
      <c r="C350">
        <v>350</v>
      </c>
      <c r="D350">
        <v>35.200000000000003</v>
      </c>
      <c r="E350">
        <v>17.5</v>
      </c>
      <c r="F350">
        <v>34.198999999999998</v>
      </c>
      <c r="G350">
        <v>0</v>
      </c>
    </row>
    <row r="351" spans="1:7">
      <c r="A351" s="3">
        <f t="shared" si="5"/>
        <v>33589</v>
      </c>
      <c r="B351">
        <v>1991</v>
      </c>
      <c r="C351">
        <v>351</v>
      </c>
      <c r="D351">
        <v>31.8</v>
      </c>
      <c r="E351">
        <v>17.100000000000001</v>
      </c>
      <c r="F351">
        <v>35.119</v>
      </c>
      <c r="G351">
        <v>0</v>
      </c>
    </row>
    <row r="352" spans="1:7">
      <c r="A352" s="3">
        <f t="shared" si="5"/>
        <v>33590</v>
      </c>
      <c r="B352">
        <v>1991</v>
      </c>
      <c r="C352">
        <v>352</v>
      </c>
      <c r="D352">
        <v>33.5</v>
      </c>
      <c r="E352">
        <v>17.600000000000001</v>
      </c>
      <c r="F352">
        <v>34.877000000000002</v>
      </c>
      <c r="G352">
        <v>0</v>
      </c>
    </row>
    <row r="353" spans="1:7">
      <c r="A353" s="3">
        <f t="shared" si="5"/>
        <v>33591</v>
      </c>
      <c r="B353">
        <v>1991</v>
      </c>
      <c r="C353">
        <v>353</v>
      </c>
      <c r="D353">
        <v>32</v>
      </c>
      <c r="E353">
        <v>18.600000000000001</v>
      </c>
      <c r="F353">
        <v>33.180999999999997</v>
      </c>
      <c r="G353">
        <v>1.8</v>
      </c>
    </row>
    <row r="354" spans="1:7">
      <c r="A354" s="3">
        <f t="shared" si="5"/>
        <v>33592</v>
      </c>
      <c r="B354">
        <v>1991</v>
      </c>
      <c r="C354">
        <v>354</v>
      </c>
      <c r="D354">
        <v>33</v>
      </c>
      <c r="E354">
        <v>19.100000000000001</v>
      </c>
      <c r="F354">
        <v>28.289000000000001</v>
      </c>
      <c r="G354">
        <v>1.3</v>
      </c>
    </row>
    <row r="355" spans="1:7">
      <c r="A355" s="3">
        <f t="shared" si="5"/>
        <v>33593</v>
      </c>
      <c r="B355">
        <v>1991</v>
      </c>
      <c r="C355">
        <v>355</v>
      </c>
      <c r="D355">
        <v>32</v>
      </c>
      <c r="E355">
        <v>19.5</v>
      </c>
      <c r="F355">
        <v>15.695</v>
      </c>
      <c r="G355">
        <v>3.4</v>
      </c>
    </row>
    <row r="356" spans="1:7">
      <c r="A356" s="3">
        <f t="shared" si="5"/>
        <v>33594</v>
      </c>
      <c r="B356">
        <v>1991</v>
      </c>
      <c r="C356">
        <v>356</v>
      </c>
      <c r="D356">
        <v>33.799999999999997</v>
      </c>
      <c r="E356">
        <v>16.3</v>
      </c>
      <c r="F356">
        <v>22.960999999999999</v>
      </c>
      <c r="G356">
        <v>3</v>
      </c>
    </row>
    <row r="357" spans="1:7">
      <c r="A357" s="3">
        <f t="shared" si="5"/>
        <v>33595</v>
      </c>
      <c r="B357">
        <v>1991</v>
      </c>
      <c r="C357">
        <v>357</v>
      </c>
      <c r="D357">
        <v>30.3</v>
      </c>
      <c r="E357">
        <v>16.5</v>
      </c>
      <c r="F357">
        <v>24.995000000000001</v>
      </c>
      <c r="G357">
        <v>0</v>
      </c>
    </row>
    <row r="358" spans="1:7">
      <c r="A358" s="3">
        <f t="shared" si="5"/>
        <v>33596</v>
      </c>
      <c r="B358">
        <v>1991</v>
      </c>
      <c r="C358">
        <v>358</v>
      </c>
      <c r="D358">
        <v>29.8</v>
      </c>
      <c r="E358">
        <v>16.100000000000001</v>
      </c>
      <c r="F358">
        <v>32.503</v>
      </c>
      <c r="G358">
        <v>0</v>
      </c>
    </row>
    <row r="359" spans="1:7">
      <c r="A359" s="3">
        <f t="shared" si="5"/>
        <v>33597</v>
      </c>
      <c r="B359">
        <v>1991</v>
      </c>
      <c r="C359">
        <v>359</v>
      </c>
      <c r="D359">
        <v>32.799999999999997</v>
      </c>
      <c r="E359">
        <v>15.8</v>
      </c>
      <c r="F359">
        <v>36.572000000000003</v>
      </c>
      <c r="G359">
        <v>0</v>
      </c>
    </row>
    <row r="360" spans="1:7">
      <c r="A360" s="3">
        <f t="shared" si="5"/>
        <v>33598</v>
      </c>
      <c r="B360">
        <v>1991</v>
      </c>
      <c r="C360">
        <v>360</v>
      </c>
      <c r="D360">
        <v>32</v>
      </c>
      <c r="E360">
        <v>17.100000000000001</v>
      </c>
      <c r="F360">
        <v>34.101999999999997</v>
      </c>
      <c r="G360">
        <v>0</v>
      </c>
    </row>
    <row r="361" spans="1:7">
      <c r="A361" s="3">
        <f t="shared" si="5"/>
        <v>33599</v>
      </c>
      <c r="B361">
        <v>1991</v>
      </c>
      <c r="C361">
        <v>361</v>
      </c>
      <c r="D361">
        <v>31.5</v>
      </c>
      <c r="E361">
        <v>18</v>
      </c>
      <c r="F361">
        <v>35.555</v>
      </c>
      <c r="G361">
        <v>0</v>
      </c>
    </row>
    <row r="362" spans="1:7">
      <c r="A362" s="3">
        <f t="shared" si="5"/>
        <v>33600</v>
      </c>
      <c r="B362">
        <v>1991</v>
      </c>
      <c r="C362">
        <v>362</v>
      </c>
      <c r="D362">
        <v>32.299999999999997</v>
      </c>
      <c r="E362">
        <v>18.600000000000001</v>
      </c>
      <c r="F362">
        <v>32.697000000000003</v>
      </c>
      <c r="G362">
        <v>0</v>
      </c>
    </row>
    <row r="363" spans="1:7">
      <c r="A363" s="3">
        <f t="shared" si="5"/>
        <v>33601</v>
      </c>
      <c r="B363">
        <v>1991</v>
      </c>
      <c r="C363">
        <v>363</v>
      </c>
      <c r="D363">
        <v>31.8</v>
      </c>
      <c r="E363">
        <v>20.7</v>
      </c>
      <c r="F363">
        <v>34.005000000000003</v>
      </c>
      <c r="G363">
        <v>0.6</v>
      </c>
    </row>
    <row r="364" spans="1:7">
      <c r="A364" s="3">
        <f t="shared" si="5"/>
        <v>33602</v>
      </c>
      <c r="B364">
        <v>1991</v>
      </c>
      <c r="C364">
        <v>364</v>
      </c>
      <c r="D364">
        <v>30.7</v>
      </c>
      <c r="E364">
        <v>21.5</v>
      </c>
      <c r="F364">
        <v>29.887</v>
      </c>
      <c r="G364">
        <v>0</v>
      </c>
    </row>
    <row r="365" spans="1:7">
      <c r="A365" s="3">
        <f t="shared" si="5"/>
        <v>33603</v>
      </c>
      <c r="B365">
        <v>1991</v>
      </c>
      <c r="C365">
        <v>365</v>
      </c>
      <c r="D365">
        <v>30.9</v>
      </c>
      <c r="E365">
        <v>21.2</v>
      </c>
      <c r="F365">
        <v>23.009</v>
      </c>
      <c r="G365">
        <v>14.4</v>
      </c>
    </row>
    <row r="366" spans="1:7">
      <c r="A366" s="3">
        <f t="shared" si="5"/>
        <v>33604</v>
      </c>
      <c r="B366">
        <v>1992</v>
      </c>
      <c r="C366">
        <v>1</v>
      </c>
      <c r="D366">
        <v>32</v>
      </c>
      <c r="E366">
        <v>21</v>
      </c>
      <c r="F366">
        <v>20.393000000000001</v>
      </c>
      <c r="G366">
        <v>34.4</v>
      </c>
    </row>
    <row r="367" spans="1:7">
      <c r="A367" s="3">
        <f t="shared" si="5"/>
        <v>33605</v>
      </c>
      <c r="B367">
        <v>1992</v>
      </c>
      <c r="C367">
        <v>2</v>
      </c>
      <c r="D367">
        <v>32.299999999999997</v>
      </c>
      <c r="E367">
        <v>19</v>
      </c>
      <c r="F367">
        <v>24.172000000000001</v>
      </c>
      <c r="G367">
        <v>0.5</v>
      </c>
    </row>
    <row r="368" spans="1:7">
      <c r="A368" s="3">
        <f t="shared" si="5"/>
        <v>33606</v>
      </c>
      <c r="B368">
        <v>1992</v>
      </c>
      <c r="C368">
        <v>3</v>
      </c>
      <c r="D368">
        <v>30.7</v>
      </c>
      <c r="E368">
        <v>23.1</v>
      </c>
      <c r="F368">
        <v>31.873999999999999</v>
      </c>
      <c r="G368">
        <v>0</v>
      </c>
    </row>
    <row r="369" spans="1:7">
      <c r="A369" s="3">
        <f t="shared" si="5"/>
        <v>33607</v>
      </c>
      <c r="B369">
        <v>1992</v>
      </c>
      <c r="C369">
        <v>4</v>
      </c>
      <c r="D369">
        <v>35.299999999999997</v>
      </c>
      <c r="E369">
        <v>22.2</v>
      </c>
      <c r="F369">
        <v>20.684000000000001</v>
      </c>
      <c r="G369">
        <v>0</v>
      </c>
    </row>
    <row r="370" spans="1:7">
      <c r="A370" s="3">
        <f t="shared" si="5"/>
        <v>33608</v>
      </c>
      <c r="B370">
        <v>1992</v>
      </c>
      <c r="C370">
        <v>5</v>
      </c>
      <c r="D370">
        <v>31.2</v>
      </c>
      <c r="E370">
        <v>17.5</v>
      </c>
      <c r="F370">
        <v>30.469000000000001</v>
      </c>
      <c r="G370">
        <v>0</v>
      </c>
    </row>
    <row r="371" spans="1:7">
      <c r="A371" s="3">
        <f t="shared" si="5"/>
        <v>33609</v>
      </c>
      <c r="B371">
        <v>1992</v>
      </c>
      <c r="C371">
        <v>6</v>
      </c>
      <c r="D371">
        <v>34.200000000000003</v>
      </c>
      <c r="E371">
        <v>13.5</v>
      </c>
      <c r="F371">
        <v>36.911000000000001</v>
      </c>
      <c r="G371">
        <v>0</v>
      </c>
    </row>
    <row r="372" spans="1:7">
      <c r="A372" s="3">
        <f t="shared" si="5"/>
        <v>33610</v>
      </c>
      <c r="B372">
        <v>1992</v>
      </c>
      <c r="C372">
        <v>7</v>
      </c>
      <c r="D372">
        <v>33.5</v>
      </c>
      <c r="E372">
        <v>18.5</v>
      </c>
      <c r="F372">
        <v>35.991</v>
      </c>
      <c r="G372">
        <v>0</v>
      </c>
    </row>
    <row r="373" spans="1:7">
      <c r="A373" s="3">
        <f t="shared" si="5"/>
        <v>33611</v>
      </c>
      <c r="B373">
        <v>1992</v>
      </c>
      <c r="C373">
        <v>8</v>
      </c>
      <c r="D373">
        <v>32.799999999999997</v>
      </c>
      <c r="E373">
        <v>21</v>
      </c>
      <c r="F373">
        <v>26.158000000000001</v>
      </c>
      <c r="G373">
        <v>16.2</v>
      </c>
    </row>
    <row r="374" spans="1:7">
      <c r="A374" s="3">
        <f t="shared" si="5"/>
        <v>33612</v>
      </c>
      <c r="B374">
        <v>1992</v>
      </c>
      <c r="C374">
        <v>9</v>
      </c>
      <c r="D374">
        <v>32.5</v>
      </c>
      <c r="E374">
        <v>21.4</v>
      </c>
      <c r="F374">
        <v>24.800999999999998</v>
      </c>
      <c r="G374">
        <v>0.9</v>
      </c>
    </row>
    <row r="375" spans="1:7">
      <c r="A375" s="3">
        <f t="shared" si="5"/>
        <v>33613</v>
      </c>
      <c r="B375">
        <v>1992</v>
      </c>
      <c r="C375">
        <v>10</v>
      </c>
      <c r="D375">
        <v>29.5</v>
      </c>
      <c r="E375">
        <v>22</v>
      </c>
      <c r="F375">
        <v>26.350999999999999</v>
      </c>
      <c r="G375">
        <v>0</v>
      </c>
    </row>
    <row r="376" spans="1:7">
      <c r="A376" s="3">
        <f t="shared" si="5"/>
        <v>33614</v>
      </c>
      <c r="B376">
        <v>1992</v>
      </c>
      <c r="C376">
        <v>11</v>
      </c>
      <c r="D376">
        <v>31</v>
      </c>
      <c r="E376">
        <v>22</v>
      </c>
      <c r="F376">
        <v>24.317</v>
      </c>
      <c r="G376">
        <v>22.1</v>
      </c>
    </row>
    <row r="377" spans="1:7">
      <c r="A377" s="3">
        <f t="shared" si="5"/>
        <v>33615</v>
      </c>
      <c r="B377">
        <v>1992</v>
      </c>
      <c r="C377">
        <v>12</v>
      </c>
      <c r="D377">
        <v>28.3</v>
      </c>
      <c r="E377">
        <v>18.600000000000001</v>
      </c>
      <c r="F377">
        <v>33.713999999999999</v>
      </c>
      <c r="G377">
        <v>0</v>
      </c>
    </row>
    <row r="378" spans="1:7">
      <c r="A378" s="3">
        <f t="shared" si="5"/>
        <v>33616</v>
      </c>
      <c r="B378">
        <v>1992</v>
      </c>
      <c r="C378">
        <v>13</v>
      </c>
      <c r="D378">
        <v>29.2</v>
      </c>
      <c r="E378">
        <v>15.6</v>
      </c>
      <c r="F378">
        <v>35.652000000000001</v>
      </c>
      <c r="G378">
        <v>0</v>
      </c>
    </row>
    <row r="379" spans="1:7">
      <c r="A379" s="3">
        <f t="shared" si="5"/>
        <v>33617</v>
      </c>
      <c r="B379">
        <v>1992</v>
      </c>
      <c r="C379">
        <v>14</v>
      </c>
      <c r="D379">
        <v>30</v>
      </c>
      <c r="E379">
        <v>16.2</v>
      </c>
      <c r="F379">
        <v>31.146999999999998</v>
      </c>
      <c r="G379">
        <v>0</v>
      </c>
    </row>
    <row r="380" spans="1:7">
      <c r="A380" s="3">
        <f t="shared" si="5"/>
        <v>33618</v>
      </c>
      <c r="B380">
        <v>1992</v>
      </c>
      <c r="C380">
        <v>15</v>
      </c>
      <c r="D380">
        <v>32.9</v>
      </c>
      <c r="E380">
        <v>16.399999999999999</v>
      </c>
      <c r="F380">
        <v>36.378</v>
      </c>
      <c r="G380">
        <v>0</v>
      </c>
    </row>
    <row r="381" spans="1:7">
      <c r="A381" s="3">
        <f t="shared" si="5"/>
        <v>33619</v>
      </c>
      <c r="B381">
        <v>1992</v>
      </c>
      <c r="C381">
        <v>16</v>
      </c>
      <c r="D381">
        <v>31</v>
      </c>
      <c r="E381">
        <v>22.3</v>
      </c>
      <c r="F381">
        <v>34.877000000000002</v>
      </c>
      <c r="G381">
        <v>0</v>
      </c>
    </row>
    <row r="382" spans="1:7">
      <c r="A382" s="3">
        <f t="shared" si="5"/>
        <v>33620</v>
      </c>
      <c r="B382">
        <v>1992</v>
      </c>
      <c r="C382">
        <v>17</v>
      </c>
      <c r="D382">
        <v>35.5</v>
      </c>
      <c r="E382">
        <v>21.6</v>
      </c>
      <c r="F382">
        <v>32.988</v>
      </c>
      <c r="G382">
        <v>0</v>
      </c>
    </row>
    <row r="383" spans="1:7">
      <c r="A383" s="3">
        <f t="shared" si="5"/>
        <v>33621</v>
      </c>
      <c r="B383">
        <v>1992</v>
      </c>
      <c r="C383">
        <v>18</v>
      </c>
      <c r="D383">
        <v>35.4</v>
      </c>
      <c r="E383">
        <v>21.4</v>
      </c>
      <c r="F383">
        <v>28.919</v>
      </c>
      <c r="G383">
        <v>0</v>
      </c>
    </row>
    <row r="384" spans="1:7">
      <c r="A384" s="3">
        <f t="shared" si="5"/>
        <v>33622</v>
      </c>
      <c r="B384">
        <v>1992</v>
      </c>
      <c r="C384">
        <v>19</v>
      </c>
      <c r="D384">
        <v>31.5</v>
      </c>
      <c r="E384">
        <v>19.3</v>
      </c>
      <c r="F384">
        <v>28.821999999999999</v>
      </c>
      <c r="G384">
        <v>0</v>
      </c>
    </row>
    <row r="385" spans="1:7">
      <c r="A385" s="3">
        <f t="shared" si="5"/>
        <v>33623</v>
      </c>
      <c r="B385">
        <v>1992</v>
      </c>
      <c r="C385">
        <v>20</v>
      </c>
      <c r="D385">
        <v>31.5</v>
      </c>
      <c r="E385">
        <v>21.2</v>
      </c>
      <c r="F385">
        <v>32.697000000000003</v>
      </c>
      <c r="G385">
        <v>0</v>
      </c>
    </row>
    <row r="386" spans="1:7">
      <c r="A386" s="3">
        <f t="shared" ref="A386:A449" si="6">DATE(B386,1,1)+C386-1</f>
        <v>33624</v>
      </c>
      <c r="B386">
        <v>1992</v>
      </c>
      <c r="C386">
        <v>21</v>
      </c>
      <c r="D386">
        <v>30</v>
      </c>
      <c r="E386">
        <v>23</v>
      </c>
      <c r="F386">
        <v>29.984000000000002</v>
      </c>
      <c r="G386">
        <v>0</v>
      </c>
    </row>
    <row r="387" spans="1:7">
      <c r="A387" s="3">
        <f t="shared" si="6"/>
        <v>33625</v>
      </c>
      <c r="B387">
        <v>1992</v>
      </c>
      <c r="C387">
        <v>22</v>
      </c>
      <c r="D387">
        <v>30.1</v>
      </c>
      <c r="E387">
        <v>19.399999999999999</v>
      </c>
      <c r="F387">
        <v>14.096</v>
      </c>
      <c r="G387">
        <v>0</v>
      </c>
    </row>
    <row r="388" spans="1:7">
      <c r="A388" s="3">
        <f t="shared" si="6"/>
        <v>33626</v>
      </c>
      <c r="B388">
        <v>1992</v>
      </c>
      <c r="C388">
        <v>23</v>
      </c>
      <c r="D388">
        <v>31</v>
      </c>
      <c r="E388">
        <v>17.5</v>
      </c>
      <c r="F388">
        <v>27.998000000000001</v>
      </c>
      <c r="G388">
        <v>0</v>
      </c>
    </row>
    <row r="389" spans="1:7">
      <c r="A389" s="3">
        <f t="shared" si="6"/>
        <v>33627</v>
      </c>
      <c r="B389">
        <v>1992</v>
      </c>
      <c r="C389">
        <v>24</v>
      </c>
      <c r="D389">
        <v>35.5</v>
      </c>
      <c r="E389">
        <v>16.7</v>
      </c>
      <c r="F389">
        <v>30.710999999999999</v>
      </c>
      <c r="G389">
        <v>0</v>
      </c>
    </row>
    <row r="390" spans="1:7">
      <c r="A390" s="3">
        <f t="shared" si="6"/>
        <v>33628</v>
      </c>
      <c r="B390">
        <v>1992</v>
      </c>
      <c r="C390">
        <v>25</v>
      </c>
      <c r="D390">
        <v>35</v>
      </c>
      <c r="E390">
        <v>20</v>
      </c>
      <c r="F390">
        <v>32.405999999999999</v>
      </c>
      <c r="G390">
        <v>0</v>
      </c>
    </row>
    <row r="391" spans="1:7">
      <c r="A391" s="3">
        <f t="shared" si="6"/>
        <v>33629</v>
      </c>
      <c r="B391">
        <v>1992</v>
      </c>
      <c r="C391">
        <v>26</v>
      </c>
      <c r="D391">
        <v>34.5</v>
      </c>
      <c r="E391">
        <v>22.2</v>
      </c>
      <c r="F391">
        <v>32.213000000000001</v>
      </c>
      <c r="G391">
        <v>5.9</v>
      </c>
    </row>
    <row r="392" spans="1:7">
      <c r="A392" s="3">
        <f t="shared" si="6"/>
        <v>33630</v>
      </c>
      <c r="B392">
        <v>1992</v>
      </c>
      <c r="C392">
        <v>27</v>
      </c>
      <c r="D392">
        <v>31.1</v>
      </c>
      <c r="E392">
        <v>18.2</v>
      </c>
      <c r="F392">
        <v>25.625</v>
      </c>
      <c r="G392">
        <v>0</v>
      </c>
    </row>
    <row r="393" spans="1:7">
      <c r="A393" s="3">
        <f t="shared" si="6"/>
        <v>33631</v>
      </c>
      <c r="B393">
        <v>1992</v>
      </c>
      <c r="C393">
        <v>28</v>
      </c>
      <c r="D393">
        <v>32</v>
      </c>
      <c r="E393">
        <v>19.8</v>
      </c>
      <c r="F393">
        <v>31.631</v>
      </c>
      <c r="G393">
        <v>0</v>
      </c>
    </row>
    <row r="394" spans="1:7">
      <c r="A394" s="3">
        <f t="shared" si="6"/>
        <v>33632</v>
      </c>
      <c r="B394">
        <v>1992</v>
      </c>
      <c r="C394">
        <v>29</v>
      </c>
      <c r="D394">
        <v>31</v>
      </c>
      <c r="E394">
        <v>19.8</v>
      </c>
      <c r="F394">
        <v>21.556000000000001</v>
      </c>
      <c r="G394">
        <v>0.5</v>
      </c>
    </row>
    <row r="395" spans="1:7">
      <c r="A395" s="3">
        <f t="shared" si="6"/>
        <v>33633</v>
      </c>
      <c r="B395">
        <v>1992</v>
      </c>
      <c r="C395">
        <v>30</v>
      </c>
      <c r="D395">
        <v>31</v>
      </c>
      <c r="E395">
        <v>20.2</v>
      </c>
      <c r="F395">
        <v>21.167999999999999</v>
      </c>
      <c r="G395">
        <v>0</v>
      </c>
    </row>
    <row r="396" spans="1:7">
      <c r="A396" s="3">
        <f t="shared" si="6"/>
        <v>33634</v>
      </c>
      <c r="B396">
        <v>1992</v>
      </c>
      <c r="C396">
        <v>31</v>
      </c>
      <c r="D396">
        <v>28.4</v>
      </c>
      <c r="E396">
        <v>22</v>
      </c>
      <c r="F396">
        <v>20.829000000000001</v>
      </c>
      <c r="G396">
        <v>0.2</v>
      </c>
    </row>
    <row r="397" spans="1:7">
      <c r="A397" s="3">
        <f t="shared" si="6"/>
        <v>33635</v>
      </c>
      <c r="B397">
        <v>1992</v>
      </c>
      <c r="C397">
        <v>32</v>
      </c>
      <c r="D397">
        <v>26.3</v>
      </c>
      <c r="E397">
        <v>19.8</v>
      </c>
      <c r="F397">
        <v>15.984999999999999</v>
      </c>
      <c r="G397">
        <v>20.9</v>
      </c>
    </row>
    <row r="398" spans="1:7">
      <c r="A398" s="3">
        <f t="shared" si="6"/>
        <v>33636</v>
      </c>
      <c r="B398">
        <v>1992</v>
      </c>
      <c r="C398">
        <v>33</v>
      </c>
      <c r="D398">
        <v>29.5</v>
      </c>
      <c r="E398">
        <v>19.100000000000001</v>
      </c>
      <c r="F398">
        <v>11.287000000000001</v>
      </c>
      <c r="G398">
        <v>7.2</v>
      </c>
    </row>
    <row r="399" spans="1:7">
      <c r="A399" s="3">
        <f t="shared" si="6"/>
        <v>33637</v>
      </c>
      <c r="B399">
        <v>1992</v>
      </c>
      <c r="C399">
        <v>34</v>
      </c>
      <c r="D399">
        <v>30.1</v>
      </c>
      <c r="E399">
        <v>17</v>
      </c>
      <c r="F399">
        <v>20.49</v>
      </c>
      <c r="G399">
        <v>0</v>
      </c>
    </row>
    <row r="400" spans="1:7">
      <c r="A400" s="3">
        <f t="shared" si="6"/>
        <v>33638</v>
      </c>
      <c r="B400">
        <v>1992</v>
      </c>
      <c r="C400">
        <v>35</v>
      </c>
      <c r="D400">
        <v>30.8</v>
      </c>
      <c r="E400">
        <v>18</v>
      </c>
      <c r="F400">
        <v>29.693999999999999</v>
      </c>
      <c r="G400">
        <v>0</v>
      </c>
    </row>
    <row r="401" spans="1:7">
      <c r="A401" s="3">
        <f t="shared" si="6"/>
        <v>33639</v>
      </c>
      <c r="B401">
        <v>1992</v>
      </c>
      <c r="C401">
        <v>36</v>
      </c>
      <c r="D401">
        <v>32.299999999999997</v>
      </c>
      <c r="E401">
        <v>19.399999999999999</v>
      </c>
      <c r="F401">
        <v>22.088999999999999</v>
      </c>
      <c r="G401">
        <v>0</v>
      </c>
    </row>
    <row r="402" spans="1:7">
      <c r="A402" s="3">
        <f t="shared" si="6"/>
        <v>33640</v>
      </c>
      <c r="B402">
        <v>1992</v>
      </c>
      <c r="C402">
        <v>37</v>
      </c>
      <c r="D402">
        <v>32.5</v>
      </c>
      <c r="E402">
        <v>19.5</v>
      </c>
      <c r="F402">
        <v>25.189</v>
      </c>
      <c r="G402">
        <v>2.2999999999999998</v>
      </c>
    </row>
    <row r="403" spans="1:7">
      <c r="A403" s="3">
        <f t="shared" si="6"/>
        <v>33641</v>
      </c>
      <c r="B403">
        <v>1992</v>
      </c>
      <c r="C403">
        <v>38</v>
      </c>
      <c r="D403">
        <v>33.5</v>
      </c>
      <c r="E403">
        <v>19</v>
      </c>
      <c r="F403">
        <v>27.611000000000001</v>
      </c>
      <c r="G403">
        <v>0</v>
      </c>
    </row>
    <row r="404" spans="1:7">
      <c r="A404" s="3">
        <f t="shared" si="6"/>
        <v>33642</v>
      </c>
      <c r="B404">
        <v>1992</v>
      </c>
      <c r="C404">
        <v>39</v>
      </c>
      <c r="D404">
        <v>28.8</v>
      </c>
      <c r="E404">
        <v>21.3</v>
      </c>
      <c r="F404">
        <v>24.898</v>
      </c>
      <c r="G404">
        <v>0</v>
      </c>
    </row>
    <row r="405" spans="1:7">
      <c r="A405" s="3">
        <f t="shared" si="6"/>
        <v>33643</v>
      </c>
      <c r="B405">
        <v>1992</v>
      </c>
      <c r="C405">
        <v>40</v>
      </c>
      <c r="D405">
        <v>28.6</v>
      </c>
      <c r="E405">
        <v>22.3</v>
      </c>
      <c r="F405">
        <v>11.287000000000001</v>
      </c>
      <c r="G405">
        <v>0.9</v>
      </c>
    </row>
    <row r="406" spans="1:7">
      <c r="A406" s="3">
        <f t="shared" si="6"/>
        <v>33644</v>
      </c>
      <c r="B406">
        <v>1992</v>
      </c>
      <c r="C406">
        <v>41</v>
      </c>
      <c r="D406">
        <v>28</v>
      </c>
      <c r="E406">
        <v>19.899999999999999</v>
      </c>
      <c r="F406">
        <v>10.414999999999999</v>
      </c>
      <c r="G406">
        <v>182</v>
      </c>
    </row>
    <row r="407" spans="1:7">
      <c r="A407" s="3">
        <f t="shared" si="6"/>
        <v>33645</v>
      </c>
      <c r="B407">
        <v>1992</v>
      </c>
      <c r="C407">
        <v>42</v>
      </c>
      <c r="D407">
        <v>30</v>
      </c>
      <c r="E407">
        <v>20.100000000000001</v>
      </c>
      <c r="F407">
        <v>11.577</v>
      </c>
      <c r="G407">
        <v>2.9</v>
      </c>
    </row>
    <row r="408" spans="1:7">
      <c r="A408" s="3">
        <f t="shared" si="6"/>
        <v>33646</v>
      </c>
      <c r="B408">
        <v>1992</v>
      </c>
      <c r="C408">
        <v>43</v>
      </c>
      <c r="D408">
        <v>31.8</v>
      </c>
      <c r="E408">
        <v>22.6</v>
      </c>
      <c r="F408">
        <v>13.417999999999999</v>
      </c>
      <c r="G408">
        <v>4.3</v>
      </c>
    </row>
    <row r="409" spans="1:7">
      <c r="A409" s="3">
        <f t="shared" si="6"/>
        <v>33647</v>
      </c>
      <c r="B409">
        <v>1992</v>
      </c>
      <c r="C409">
        <v>44</v>
      </c>
      <c r="D409">
        <v>31</v>
      </c>
      <c r="E409">
        <v>20.6</v>
      </c>
      <c r="F409">
        <v>21.167999999999999</v>
      </c>
      <c r="G409">
        <v>0.1</v>
      </c>
    </row>
    <row r="410" spans="1:7">
      <c r="A410" s="3">
        <f t="shared" si="6"/>
        <v>33648</v>
      </c>
      <c r="B410">
        <v>1992</v>
      </c>
      <c r="C410">
        <v>45</v>
      </c>
      <c r="D410">
        <v>29.7</v>
      </c>
      <c r="E410">
        <v>21</v>
      </c>
      <c r="F410">
        <v>15.113</v>
      </c>
      <c r="G410">
        <v>1.2</v>
      </c>
    </row>
    <row r="411" spans="1:7">
      <c r="A411" s="3">
        <f t="shared" si="6"/>
        <v>33649</v>
      </c>
      <c r="B411">
        <v>1992</v>
      </c>
      <c r="C411">
        <v>46</v>
      </c>
      <c r="D411">
        <v>28.4</v>
      </c>
      <c r="E411">
        <v>18.399999999999999</v>
      </c>
      <c r="F411">
        <v>22.718</v>
      </c>
      <c r="G411">
        <v>0</v>
      </c>
    </row>
    <row r="412" spans="1:7">
      <c r="A412" s="3">
        <f t="shared" si="6"/>
        <v>33650</v>
      </c>
      <c r="B412">
        <v>1992</v>
      </c>
      <c r="C412">
        <v>47</v>
      </c>
      <c r="D412">
        <v>29.6</v>
      </c>
      <c r="E412">
        <v>18</v>
      </c>
      <c r="F412">
        <v>21.314</v>
      </c>
      <c r="G412">
        <v>1.8</v>
      </c>
    </row>
    <row r="413" spans="1:7">
      <c r="A413" s="3">
        <f t="shared" si="6"/>
        <v>33651</v>
      </c>
      <c r="B413">
        <v>1992</v>
      </c>
      <c r="C413">
        <v>48</v>
      </c>
      <c r="D413">
        <v>30</v>
      </c>
      <c r="E413">
        <v>17.3</v>
      </c>
      <c r="F413">
        <v>24.414000000000001</v>
      </c>
      <c r="G413">
        <v>0</v>
      </c>
    </row>
    <row r="414" spans="1:7">
      <c r="A414" s="3">
        <f t="shared" si="6"/>
        <v>33652</v>
      </c>
      <c r="B414">
        <v>1992</v>
      </c>
      <c r="C414">
        <v>49</v>
      </c>
      <c r="D414">
        <v>27.7</v>
      </c>
      <c r="E414">
        <v>19.100000000000001</v>
      </c>
      <c r="F414">
        <v>25.382999999999999</v>
      </c>
      <c r="G414">
        <v>0.7</v>
      </c>
    </row>
    <row r="415" spans="1:7">
      <c r="A415" s="3">
        <f t="shared" si="6"/>
        <v>33653</v>
      </c>
      <c r="B415">
        <v>1992</v>
      </c>
      <c r="C415">
        <v>50</v>
      </c>
      <c r="D415">
        <v>30.9</v>
      </c>
      <c r="E415">
        <v>21.6</v>
      </c>
      <c r="F415">
        <v>11.771000000000001</v>
      </c>
      <c r="G415">
        <v>0.4</v>
      </c>
    </row>
    <row r="416" spans="1:7">
      <c r="A416" s="3">
        <f t="shared" si="6"/>
        <v>33654</v>
      </c>
      <c r="B416">
        <v>1992</v>
      </c>
      <c r="C416">
        <v>51</v>
      </c>
      <c r="D416">
        <v>28.8</v>
      </c>
      <c r="E416">
        <v>21.1</v>
      </c>
      <c r="F416">
        <v>16.614999999999998</v>
      </c>
      <c r="G416">
        <v>0</v>
      </c>
    </row>
    <row r="417" spans="1:7">
      <c r="A417" s="3">
        <f t="shared" si="6"/>
        <v>33655</v>
      </c>
      <c r="B417">
        <v>1992</v>
      </c>
      <c r="C417">
        <v>52</v>
      </c>
      <c r="D417">
        <v>25</v>
      </c>
      <c r="E417">
        <v>21.6</v>
      </c>
      <c r="F417">
        <v>8.6219999999999999</v>
      </c>
      <c r="G417">
        <v>19.2</v>
      </c>
    </row>
    <row r="418" spans="1:7">
      <c r="A418" s="3">
        <f t="shared" si="6"/>
        <v>33656</v>
      </c>
      <c r="B418">
        <v>1992</v>
      </c>
      <c r="C418">
        <v>53</v>
      </c>
      <c r="D418">
        <v>30</v>
      </c>
      <c r="E418">
        <v>22.3</v>
      </c>
      <c r="F418">
        <v>4.6020000000000003</v>
      </c>
      <c r="G418">
        <v>38.200000000000003</v>
      </c>
    </row>
    <row r="419" spans="1:7">
      <c r="A419" s="3">
        <f t="shared" si="6"/>
        <v>33657</v>
      </c>
      <c r="B419">
        <v>1992</v>
      </c>
      <c r="C419">
        <v>54</v>
      </c>
      <c r="D419">
        <v>32</v>
      </c>
      <c r="E419">
        <v>24.3</v>
      </c>
      <c r="F419">
        <v>16.905999999999999</v>
      </c>
      <c r="G419">
        <v>0.7</v>
      </c>
    </row>
    <row r="420" spans="1:7">
      <c r="A420" s="3">
        <f t="shared" si="6"/>
        <v>33658</v>
      </c>
      <c r="B420">
        <v>1992</v>
      </c>
      <c r="C420">
        <v>55</v>
      </c>
      <c r="D420">
        <v>34.1</v>
      </c>
      <c r="E420">
        <v>25.2</v>
      </c>
      <c r="F420">
        <v>20.393000000000001</v>
      </c>
      <c r="G420">
        <v>0.4</v>
      </c>
    </row>
    <row r="421" spans="1:7">
      <c r="A421" s="3">
        <f t="shared" si="6"/>
        <v>33659</v>
      </c>
      <c r="B421">
        <v>1992</v>
      </c>
      <c r="C421">
        <v>56</v>
      </c>
      <c r="D421">
        <v>28.1</v>
      </c>
      <c r="E421">
        <v>22.6</v>
      </c>
      <c r="F421">
        <v>18.600999999999999</v>
      </c>
      <c r="G421">
        <v>16.5</v>
      </c>
    </row>
    <row r="422" spans="1:7">
      <c r="A422" s="3">
        <f t="shared" si="6"/>
        <v>33660</v>
      </c>
      <c r="B422">
        <v>1992</v>
      </c>
      <c r="C422">
        <v>57</v>
      </c>
      <c r="D422">
        <v>25</v>
      </c>
      <c r="E422">
        <v>21</v>
      </c>
      <c r="F422">
        <v>10.705</v>
      </c>
      <c r="G422">
        <v>0.2</v>
      </c>
    </row>
    <row r="423" spans="1:7">
      <c r="A423" s="3">
        <f t="shared" si="6"/>
        <v>33661</v>
      </c>
      <c r="B423">
        <v>1992</v>
      </c>
      <c r="C423">
        <v>58</v>
      </c>
      <c r="D423">
        <v>27</v>
      </c>
      <c r="E423">
        <v>19.2</v>
      </c>
      <c r="F423">
        <v>5.5220000000000002</v>
      </c>
      <c r="G423">
        <v>0.1</v>
      </c>
    </row>
    <row r="424" spans="1:7">
      <c r="A424" s="3">
        <f t="shared" si="6"/>
        <v>33662</v>
      </c>
      <c r="B424">
        <v>1992</v>
      </c>
      <c r="C424">
        <v>59</v>
      </c>
      <c r="D424">
        <v>28.3</v>
      </c>
      <c r="E424">
        <v>16.399999999999999</v>
      </c>
      <c r="F424">
        <v>15.307</v>
      </c>
      <c r="G424">
        <v>0</v>
      </c>
    </row>
    <row r="425" spans="1:7">
      <c r="A425" s="3">
        <f t="shared" si="6"/>
        <v>33663</v>
      </c>
      <c r="B425">
        <v>1992</v>
      </c>
      <c r="C425">
        <v>60</v>
      </c>
      <c r="D425">
        <v>27.1</v>
      </c>
      <c r="E425">
        <v>15.7</v>
      </c>
      <c r="F425">
        <v>18.795000000000002</v>
      </c>
      <c r="G425">
        <v>0</v>
      </c>
    </row>
    <row r="426" spans="1:7">
      <c r="A426" s="3">
        <f t="shared" si="6"/>
        <v>33664</v>
      </c>
      <c r="B426">
        <v>1992</v>
      </c>
      <c r="C426">
        <v>61</v>
      </c>
      <c r="D426">
        <v>27.6</v>
      </c>
      <c r="E426">
        <v>16.7</v>
      </c>
      <c r="F426">
        <v>15.984999999999999</v>
      </c>
      <c r="G426">
        <v>0</v>
      </c>
    </row>
    <row r="427" spans="1:7">
      <c r="A427" s="3">
        <f t="shared" si="6"/>
        <v>33665</v>
      </c>
      <c r="B427">
        <v>1992</v>
      </c>
      <c r="C427">
        <v>62</v>
      </c>
      <c r="D427">
        <v>26</v>
      </c>
      <c r="E427">
        <v>17.2</v>
      </c>
      <c r="F427">
        <v>18.600999999999999</v>
      </c>
      <c r="G427">
        <v>0</v>
      </c>
    </row>
    <row r="428" spans="1:7">
      <c r="A428" s="3">
        <f t="shared" si="6"/>
        <v>33666</v>
      </c>
      <c r="B428">
        <v>1992</v>
      </c>
      <c r="C428">
        <v>63</v>
      </c>
      <c r="D428">
        <v>25.6</v>
      </c>
      <c r="E428">
        <v>18.600000000000001</v>
      </c>
      <c r="F428">
        <v>14.92</v>
      </c>
      <c r="G428">
        <v>0</v>
      </c>
    </row>
    <row r="429" spans="1:7">
      <c r="A429" s="3">
        <f t="shared" si="6"/>
        <v>33667</v>
      </c>
      <c r="B429">
        <v>1992</v>
      </c>
      <c r="C429">
        <v>64</v>
      </c>
      <c r="D429">
        <v>28.5</v>
      </c>
      <c r="E429">
        <v>18.899999999999999</v>
      </c>
      <c r="F429">
        <v>12.981999999999999</v>
      </c>
      <c r="G429">
        <v>1</v>
      </c>
    </row>
    <row r="430" spans="1:7">
      <c r="A430" s="3">
        <f t="shared" si="6"/>
        <v>33668</v>
      </c>
      <c r="B430">
        <v>1992</v>
      </c>
      <c r="C430">
        <v>65</v>
      </c>
      <c r="D430">
        <v>29.8</v>
      </c>
      <c r="E430">
        <v>16.5</v>
      </c>
      <c r="F430">
        <v>23.202999999999999</v>
      </c>
      <c r="G430">
        <v>0</v>
      </c>
    </row>
    <row r="431" spans="1:7">
      <c r="A431" s="3">
        <f t="shared" si="6"/>
        <v>33669</v>
      </c>
      <c r="B431">
        <v>1992</v>
      </c>
      <c r="C431">
        <v>66</v>
      </c>
      <c r="D431">
        <v>29.7</v>
      </c>
      <c r="E431">
        <v>16.600000000000001</v>
      </c>
      <c r="F431">
        <v>20.587</v>
      </c>
      <c r="G431">
        <v>0</v>
      </c>
    </row>
    <row r="432" spans="1:7">
      <c r="A432" s="3">
        <f t="shared" si="6"/>
        <v>33670</v>
      </c>
      <c r="B432">
        <v>1992</v>
      </c>
      <c r="C432">
        <v>67</v>
      </c>
      <c r="D432">
        <v>30</v>
      </c>
      <c r="E432">
        <v>15.6</v>
      </c>
      <c r="F432">
        <v>18.407</v>
      </c>
      <c r="G432">
        <v>0</v>
      </c>
    </row>
    <row r="433" spans="1:7">
      <c r="A433" s="3">
        <f t="shared" si="6"/>
        <v>33671</v>
      </c>
      <c r="B433">
        <v>1992</v>
      </c>
      <c r="C433">
        <v>68</v>
      </c>
      <c r="D433">
        <v>28.8</v>
      </c>
      <c r="E433">
        <v>17.2</v>
      </c>
      <c r="F433">
        <v>20.587</v>
      </c>
      <c r="G433">
        <v>0</v>
      </c>
    </row>
    <row r="434" spans="1:7">
      <c r="A434" s="3">
        <f t="shared" si="6"/>
        <v>33672</v>
      </c>
      <c r="B434">
        <v>1992</v>
      </c>
      <c r="C434">
        <v>69</v>
      </c>
      <c r="D434">
        <v>28.4</v>
      </c>
      <c r="E434">
        <v>15.6</v>
      </c>
      <c r="F434">
        <v>20.780999999999999</v>
      </c>
      <c r="G434">
        <v>0</v>
      </c>
    </row>
    <row r="435" spans="1:7">
      <c r="A435" s="3">
        <f t="shared" si="6"/>
        <v>33673</v>
      </c>
      <c r="B435">
        <v>1992</v>
      </c>
      <c r="C435">
        <v>70</v>
      </c>
      <c r="D435">
        <v>27.6</v>
      </c>
      <c r="E435">
        <v>15.5</v>
      </c>
      <c r="F435">
        <v>14.58</v>
      </c>
      <c r="G435">
        <v>5.5</v>
      </c>
    </row>
    <row r="436" spans="1:7">
      <c r="A436" s="3">
        <f t="shared" si="6"/>
        <v>33674</v>
      </c>
      <c r="B436">
        <v>1992</v>
      </c>
      <c r="C436">
        <v>71</v>
      </c>
      <c r="D436">
        <v>27.2</v>
      </c>
      <c r="E436">
        <v>17.399999999999999</v>
      </c>
      <c r="F436">
        <v>16.178999999999998</v>
      </c>
      <c r="G436">
        <v>0.3</v>
      </c>
    </row>
    <row r="437" spans="1:7">
      <c r="A437" s="3">
        <f t="shared" si="6"/>
        <v>33675</v>
      </c>
      <c r="B437">
        <v>1992</v>
      </c>
      <c r="C437">
        <v>72</v>
      </c>
      <c r="D437">
        <v>33</v>
      </c>
      <c r="E437">
        <v>24</v>
      </c>
      <c r="F437">
        <v>17.486999999999998</v>
      </c>
      <c r="G437">
        <v>0</v>
      </c>
    </row>
    <row r="438" spans="1:7">
      <c r="A438" s="3">
        <f t="shared" si="6"/>
        <v>33676</v>
      </c>
      <c r="B438">
        <v>1992</v>
      </c>
      <c r="C438">
        <v>73</v>
      </c>
      <c r="D438">
        <v>28.3</v>
      </c>
      <c r="E438">
        <v>19.5</v>
      </c>
      <c r="F438">
        <v>16.178999999999998</v>
      </c>
      <c r="G438">
        <v>0</v>
      </c>
    </row>
    <row r="439" spans="1:7">
      <c r="A439" s="3">
        <f t="shared" si="6"/>
        <v>33677</v>
      </c>
      <c r="B439">
        <v>1992</v>
      </c>
      <c r="C439">
        <v>74</v>
      </c>
      <c r="D439">
        <v>27.4</v>
      </c>
      <c r="E439">
        <v>19.5</v>
      </c>
      <c r="F439">
        <v>13.612</v>
      </c>
      <c r="G439">
        <v>0</v>
      </c>
    </row>
    <row r="440" spans="1:7">
      <c r="A440" s="3">
        <f t="shared" si="6"/>
        <v>33678</v>
      </c>
      <c r="B440">
        <v>1992</v>
      </c>
      <c r="C440">
        <v>75</v>
      </c>
      <c r="D440">
        <v>24.6</v>
      </c>
      <c r="E440">
        <v>20.5</v>
      </c>
      <c r="F440">
        <v>12.304</v>
      </c>
      <c r="G440">
        <v>0</v>
      </c>
    </row>
    <row r="441" spans="1:7">
      <c r="A441" s="3">
        <f t="shared" si="6"/>
        <v>33679</v>
      </c>
      <c r="B441">
        <v>1992</v>
      </c>
      <c r="C441">
        <v>76</v>
      </c>
      <c r="D441">
        <v>25.5</v>
      </c>
      <c r="E441">
        <v>20.2</v>
      </c>
      <c r="F441">
        <v>6.2</v>
      </c>
      <c r="G441">
        <v>27.8</v>
      </c>
    </row>
    <row r="442" spans="1:7">
      <c r="A442" s="3">
        <f t="shared" si="6"/>
        <v>33680</v>
      </c>
      <c r="B442">
        <v>1992</v>
      </c>
      <c r="C442">
        <v>77</v>
      </c>
      <c r="D442">
        <v>32.700000000000003</v>
      </c>
      <c r="E442">
        <v>19.7</v>
      </c>
      <c r="F442">
        <v>6.2</v>
      </c>
      <c r="G442">
        <v>34</v>
      </c>
    </row>
    <row r="443" spans="1:7">
      <c r="A443" s="3">
        <f t="shared" si="6"/>
        <v>33681</v>
      </c>
      <c r="B443">
        <v>1992</v>
      </c>
      <c r="C443">
        <v>78</v>
      </c>
      <c r="D443">
        <v>27.8</v>
      </c>
      <c r="E443">
        <v>16.100000000000001</v>
      </c>
      <c r="F443">
        <v>15.695</v>
      </c>
      <c r="G443">
        <v>0.1</v>
      </c>
    </row>
    <row r="444" spans="1:7">
      <c r="A444" s="3">
        <f t="shared" si="6"/>
        <v>33682</v>
      </c>
      <c r="B444">
        <v>1992</v>
      </c>
      <c r="C444">
        <v>79</v>
      </c>
      <c r="D444">
        <v>27.3</v>
      </c>
      <c r="E444">
        <v>14</v>
      </c>
      <c r="F444">
        <v>19.376000000000001</v>
      </c>
      <c r="G444">
        <v>0</v>
      </c>
    </row>
    <row r="445" spans="1:7">
      <c r="A445" s="3">
        <f t="shared" si="6"/>
        <v>33683</v>
      </c>
      <c r="B445">
        <v>1992</v>
      </c>
      <c r="C445">
        <v>80</v>
      </c>
      <c r="D445">
        <v>29</v>
      </c>
      <c r="E445">
        <v>13.6</v>
      </c>
      <c r="F445">
        <v>21.992000000000001</v>
      </c>
      <c r="G445">
        <v>0</v>
      </c>
    </row>
    <row r="446" spans="1:7">
      <c r="A446" s="3">
        <f t="shared" si="6"/>
        <v>33684</v>
      </c>
      <c r="B446">
        <v>1992</v>
      </c>
      <c r="C446">
        <v>81</v>
      </c>
      <c r="D446">
        <v>32.700000000000003</v>
      </c>
      <c r="E446">
        <v>15.4</v>
      </c>
      <c r="F446">
        <v>21.314</v>
      </c>
      <c r="G446">
        <v>0</v>
      </c>
    </row>
    <row r="447" spans="1:7">
      <c r="A447" s="3">
        <f t="shared" si="6"/>
        <v>33685</v>
      </c>
      <c r="B447">
        <v>1992</v>
      </c>
      <c r="C447">
        <v>82</v>
      </c>
      <c r="D447">
        <v>30.6</v>
      </c>
      <c r="E447">
        <v>16.7</v>
      </c>
      <c r="F447">
        <v>20.684000000000001</v>
      </c>
      <c r="G447">
        <v>0</v>
      </c>
    </row>
    <row r="448" spans="1:7">
      <c r="A448" s="3">
        <f t="shared" si="6"/>
        <v>33686</v>
      </c>
      <c r="B448">
        <v>1992</v>
      </c>
      <c r="C448">
        <v>83</v>
      </c>
      <c r="D448">
        <v>26.9</v>
      </c>
      <c r="E448">
        <v>16.100000000000001</v>
      </c>
      <c r="F448">
        <v>19.763999999999999</v>
      </c>
      <c r="G448">
        <v>13.1</v>
      </c>
    </row>
    <row r="449" spans="1:7">
      <c r="A449" s="3">
        <f t="shared" si="6"/>
        <v>33687</v>
      </c>
      <c r="B449">
        <v>1992</v>
      </c>
      <c r="C449">
        <v>84</v>
      </c>
      <c r="D449">
        <v>28.9</v>
      </c>
      <c r="E449">
        <v>18.600000000000001</v>
      </c>
      <c r="F449">
        <v>18.698</v>
      </c>
      <c r="G449">
        <v>0.2</v>
      </c>
    </row>
    <row r="450" spans="1:7">
      <c r="A450" s="3">
        <f t="shared" ref="A450:A486" si="7">DATE(B450,1,1)+C450-1</f>
        <v>33688</v>
      </c>
      <c r="B450">
        <v>1992</v>
      </c>
      <c r="C450">
        <v>85</v>
      </c>
      <c r="D450">
        <v>28.3</v>
      </c>
      <c r="E450">
        <v>16.399999999999999</v>
      </c>
      <c r="F450">
        <v>17.777000000000001</v>
      </c>
      <c r="G450">
        <v>11.2</v>
      </c>
    </row>
    <row r="451" spans="1:7">
      <c r="A451" s="3">
        <f t="shared" si="7"/>
        <v>33689</v>
      </c>
      <c r="B451">
        <v>1992</v>
      </c>
      <c r="C451">
        <v>86</v>
      </c>
      <c r="D451">
        <v>29.5</v>
      </c>
      <c r="E451">
        <v>18</v>
      </c>
      <c r="F451">
        <v>18.600999999999999</v>
      </c>
      <c r="G451">
        <v>0.1</v>
      </c>
    </row>
    <row r="452" spans="1:7">
      <c r="A452" s="3">
        <f t="shared" si="7"/>
        <v>33690</v>
      </c>
      <c r="B452">
        <v>1992</v>
      </c>
      <c r="C452">
        <v>87</v>
      </c>
      <c r="D452">
        <v>29.7</v>
      </c>
      <c r="E452">
        <v>18.5</v>
      </c>
      <c r="F452">
        <v>19.667000000000002</v>
      </c>
      <c r="G452">
        <v>0</v>
      </c>
    </row>
    <row r="453" spans="1:7">
      <c r="A453" s="3">
        <f t="shared" si="7"/>
        <v>33691</v>
      </c>
      <c r="B453">
        <v>1992</v>
      </c>
      <c r="C453">
        <v>88</v>
      </c>
      <c r="D453">
        <v>31.2</v>
      </c>
      <c r="E453">
        <v>19.7</v>
      </c>
      <c r="F453">
        <v>18.262</v>
      </c>
      <c r="G453">
        <v>0</v>
      </c>
    </row>
    <row r="454" spans="1:7">
      <c r="A454" s="3">
        <f t="shared" si="7"/>
        <v>33692</v>
      </c>
      <c r="B454">
        <v>1992</v>
      </c>
      <c r="C454">
        <v>89</v>
      </c>
      <c r="D454">
        <v>29.7</v>
      </c>
      <c r="E454">
        <v>18</v>
      </c>
      <c r="F454">
        <v>19.57</v>
      </c>
      <c r="G454">
        <v>0</v>
      </c>
    </row>
    <row r="455" spans="1:7">
      <c r="A455" s="3">
        <f t="shared" si="7"/>
        <v>33693</v>
      </c>
      <c r="B455">
        <v>1992</v>
      </c>
      <c r="C455">
        <v>90</v>
      </c>
      <c r="D455">
        <v>28.5</v>
      </c>
      <c r="E455">
        <v>18</v>
      </c>
      <c r="F455">
        <v>19.279</v>
      </c>
      <c r="G455">
        <v>0.6</v>
      </c>
    </row>
    <row r="456" spans="1:7">
      <c r="A456" s="3">
        <f t="shared" si="7"/>
        <v>33694</v>
      </c>
      <c r="B456">
        <v>1992</v>
      </c>
      <c r="C456">
        <v>91</v>
      </c>
      <c r="D456">
        <v>29.6</v>
      </c>
      <c r="E456">
        <v>18.600000000000001</v>
      </c>
      <c r="F456">
        <v>13.369</v>
      </c>
      <c r="G456">
        <v>0.1</v>
      </c>
    </row>
    <row r="457" spans="1:7">
      <c r="A457" s="3">
        <f t="shared" si="7"/>
        <v>33695</v>
      </c>
      <c r="B457">
        <v>1992</v>
      </c>
      <c r="C457">
        <v>92</v>
      </c>
      <c r="D457">
        <v>29.3</v>
      </c>
      <c r="E457">
        <v>19.100000000000001</v>
      </c>
      <c r="F457">
        <v>15.984999999999999</v>
      </c>
      <c r="G457">
        <v>0</v>
      </c>
    </row>
    <row r="458" spans="1:7">
      <c r="A458" s="3">
        <f t="shared" si="7"/>
        <v>33696</v>
      </c>
      <c r="B458">
        <v>1992</v>
      </c>
      <c r="C458">
        <v>93</v>
      </c>
      <c r="D458">
        <v>28.7</v>
      </c>
      <c r="E458">
        <v>17.8</v>
      </c>
      <c r="F458">
        <v>12.691000000000001</v>
      </c>
      <c r="G458">
        <v>0.2</v>
      </c>
    </row>
    <row r="459" spans="1:7">
      <c r="A459" s="3">
        <f t="shared" si="7"/>
        <v>33697</v>
      </c>
      <c r="B459">
        <v>1992</v>
      </c>
      <c r="C459">
        <v>94</v>
      </c>
      <c r="D459">
        <v>26.9</v>
      </c>
      <c r="E459">
        <v>19.5</v>
      </c>
      <c r="F459">
        <v>10.56</v>
      </c>
      <c r="G459">
        <v>5.7</v>
      </c>
    </row>
    <row r="460" spans="1:7">
      <c r="A460" s="3">
        <f t="shared" si="7"/>
        <v>33698</v>
      </c>
      <c r="B460">
        <v>1992</v>
      </c>
      <c r="C460">
        <v>95</v>
      </c>
      <c r="D460">
        <v>26.1</v>
      </c>
      <c r="E460">
        <v>18.3</v>
      </c>
      <c r="F460">
        <v>10.269</v>
      </c>
      <c r="G460">
        <v>7.8</v>
      </c>
    </row>
    <row r="461" spans="1:7">
      <c r="A461" s="3">
        <f t="shared" si="7"/>
        <v>33699</v>
      </c>
      <c r="B461">
        <v>1992</v>
      </c>
      <c r="C461">
        <v>96</v>
      </c>
      <c r="D461">
        <v>22.3</v>
      </c>
      <c r="E461">
        <v>15.5</v>
      </c>
      <c r="F461">
        <v>13.176</v>
      </c>
      <c r="G461">
        <v>5.9</v>
      </c>
    </row>
    <row r="462" spans="1:7">
      <c r="A462" s="3">
        <f t="shared" si="7"/>
        <v>33700</v>
      </c>
      <c r="B462">
        <v>1992</v>
      </c>
      <c r="C462">
        <v>97</v>
      </c>
      <c r="D462">
        <v>26.3</v>
      </c>
      <c r="E462">
        <v>16.899999999999999</v>
      </c>
      <c r="F462">
        <v>7.5570000000000004</v>
      </c>
      <c r="G462">
        <v>17.3</v>
      </c>
    </row>
    <row r="463" spans="1:7">
      <c r="A463" s="3">
        <f t="shared" si="7"/>
        <v>33701</v>
      </c>
      <c r="B463">
        <v>1992</v>
      </c>
      <c r="C463">
        <v>98</v>
      </c>
      <c r="D463">
        <v>26.9</v>
      </c>
      <c r="E463">
        <v>15.9</v>
      </c>
      <c r="F463">
        <v>15.984999999999999</v>
      </c>
      <c r="G463">
        <v>1.5</v>
      </c>
    </row>
    <row r="464" spans="1:7">
      <c r="A464" s="3">
        <f t="shared" si="7"/>
        <v>33702</v>
      </c>
      <c r="B464">
        <v>1992</v>
      </c>
      <c r="C464">
        <v>99</v>
      </c>
      <c r="D464">
        <v>27.1</v>
      </c>
      <c r="E464">
        <v>11.2</v>
      </c>
      <c r="F464">
        <v>16.663</v>
      </c>
      <c r="G464">
        <v>0</v>
      </c>
    </row>
    <row r="465" spans="1:7">
      <c r="A465" s="3">
        <f t="shared" si="7"/>
        <v>33703</v>
      </c>
      <c r="B465">
        <v>1992</v>
      </c>
      <c r="C465">
        <v>100</v>
      </c>
      <c r="D465">
        <v>25</v>
      </c>
      <c r="E465">
        <v>15.2</v>
      </c>
      <c r="F465">
        <v>17.971</v>
      </c>
      <c r="G465">
        <v>0.6</v>
      </c>
    </row>
    <row r="466" spans="1:7">
      <c r="A466" s="3">
        <f t="shared" si="7"/>
        <v>33704</v>
      </c>
      <c r="B466">
        <v>1992</v>
      </c>
      <c r="C466">
        <v>101</v>
      </c>
      <c r="D466">
        <v>25.3</v>
      </c>
      <c r="E466">
        <v>11.2</v>
      </c>
      <c r="F466">
        <v>15.259</v>
      </c>
      <c r="G466">
        <v>0</v>
      </c>
    </row>
    <row r="467" spans="1:7">
      <c r="A467" s="3">
        <f t="shared" si="7"/>
        <v>33705</v>
      </c>
      <c r="B467">
        <v>1992</v>
      </c>
      <c r="C467">
        <v>102</v>
      </c>
      <c r="D467">
        <v>25.6</v>
      </c>
      <c r="E467">
        <v>11.6</v>
      </c>
      <c r="F467">
        <v>16.276</v>
      </c>
      <c r="G467">
        <v>0</v>
      </c>
    </row>
    <row r="468" spans="1:7">
      <c r="A468" s="3">
        <f t="shared" si="7"/>
        <v>33706</v>
      </c>
      <c r="B468">
        <v>1992</v>
      </c>
      <c r="C468">
        <v>103</v>
      </c>
      <c r="D468">
        <v>24.5</v>
      </c>
      <c r="E468">
        <v>11.9</v>
      </c>
      <c r="F468">
        <v>13.66</v>
      </c>
      <c r="G468">
        <v>2.1</v>
      </c>
    </row>
    <row r="469" spans="1:7">
      <c r="A469" s="3">
        <f t="shared" si="7"/>
        <v>33707</v>
      </c>
      <c r="B469">
        <v>1992</v>
      </c>
      <c r="C469">
        <v>104</v>
      </c>
      <c r="D469">
        <v>25</v>
      </c>
      <c r="E469">
        <v>15.9</v>
      </c>
      <c r="F469">
        <v>11.965</v>
      </c>
      <c r="G469">
        <v>0.8</v>
      </c>
    </row>
    <row r="470" spans="1:7">
      <c r="A470" s="3">
        <f t="shared" si="7"/>
        <v>33708</v>
      </c>
      <c r="B470">
        <v>1992</v>
      </c>
      <c r="C470">
        <v>105</v>
      </c>
      <c r="D470">
        <v>25.5</v>
      </c>
      <c r="E470">
        <v>14.1</v>
      </c>
      <c r="F470">
        <v>11.19</v>
      </c>
      <c r="G470">
        <v>0</v>
      </c>
    </row>
    <row r="471" spans="1:7">
      <c r="A471" s="3">
        <f t="shared" si="7"/>
        <v>33709</v>
      </c>
      <c r="B471">
        <v>1992</v>
      </c>
      <c r="C471">
        <v>106</v>
      </c>
      <c r="D471">
        <v>23.9</v>
      </c>
      <c r="E471">
        <v>14.5</v>
      </c>
      <c r="F471">
        <v>11.093</v>
      </c>
      <c r="G471">
        <v>0</v>
      </c>
    </row>
    <row r="472" spans="1:7">
      <c r="A472" s="3">
        <f t="shared" si="7"/>
        <v>33710</v>
      </c>
      <c r="B472">
        <v>1992</v>
      </c>
      <c r="C472">
        <v>107</v>
      </c>
      <c r="D472">
        <v>27.2</v>
      </c>
      <c r="E472">
        <v>13.5</v>
      </c>
      <c r="F472">
        <v>9.4939999999999998</v>
      </c>
      <c r="G472">
        <v>0</v>
      </c>
    </row>
    <row r="473" spans="1:7">
      <c r="A473" s="3">
        <f t="shared" si="7"/>
        <v>33711</v>
      </c>
      <c r="B473">
        <v>1992</v>
      </c>
      <c r="C473">
        <v>108</v>
      </c>
      <c r="D473">
        <v>27</v>
      </c>
      <c r="E473">
        <v>14.6</v>
      </c>
      <c r="F473">
        <v>16.663</v>
      </c>
      <c r="G473">
        <v>0</v>
      </c>
    </row>
    <row r="474" spans="1:7">
      <c r="A474" s="3">
        <f t="shared" si="7"/>
        <v>33712</v>
      </c>
      <c r="B474">
        <v>1992</v>
      </c>
      <c r="C474">
        <v>109</v>
      </c>
      <c r="D474">
        <v>25.1</v>
      </c>
      <c r="E474">
        <v>13.5</v>
      </c>
      <c r="F474">
        <v>13.369</v>
      </c>
      <c r="G474">
        <v>1</v>
      </c>
    </row>
    <row r="475" spans="1:7">
      <c r="A475" s="3">
        <f t="shared" si="7"/>
        <v>33713</v>
      </c>
      <c r="B475">
        <v>1992</v>
      </c>
      <c r="C475">
        <v>110</v>
      </c>
      <c r="D475">
        <v>25</v>
      </c>
      <c r="E475">
        <v>9.8000000000000007</v>
      </c>
      <c r="F475">
        <v>15.259</v>
      </c>
      <c r="G475">
        <v>0</v>
      </c>
    </row>
    <row r="476" spans="1:7">
      <c r="A476" s="3">
        <f t="shared" si="7"/>
        <v>33714</v>
      </c>
      <c r="B476">
        <v>1992</v>
      </c>
      <c r="C476">
        <v>111</v>
      </c>
      <c r="D476">
        <v>26.6</v>
      </c>
      <c r="E476">
        <v>13</v>
      </c>
      <c r="F476">
        <v>14.773999999999999</v>
      </c>
      <c r="G476">
        <v>0</v>
      </c>
    </row>
    <row r="477" spans="1:7">
      <c r="A477" s="3">
        <f t="shared" si="7"/>
        <v>33715</v>
      </c>
      <c r="B477">
        <v>1992</v>
      </c>
      <c r="C477">
        <v>112</v>
      </c>
      <c r="D477">
        <v>25.8</v>
      </c>
      <c r="E477">
        <v>14.9</v>
      </c>
      <c r="F477">
        <v>13.66</v>
      </c>
      <c r="G477">
        <v>0.1</v>
      </c>
    </row>
    <row r="478" spans="1:7">
      <c r="A478" s="3">
        <f t="shared" si="7"/>
        <v>33716</v>
      </c>
      <c r="B478">
        <v>1992</v>
      </c>
      <c r="C478">
        <v>113</v>
      </c>
      <c r="D478">
        <v>23.5</v>
      </c>
      <c r="E478">
        <v>14.5</v>
      </c>
      <c r="F478">
        <v>12.885</v>
      </c>
      <c r="G478">
        <v>0</v>
      </c>
    </row>
    <row r="479" spans="1:7">
      <c r="A479" s="3">
        <f t="shared" si="7"/>
        <v>33717</v>
      </c>
      <c r="B479">
        <v>1992</v>
      </c>
      <c r="C479">
        <v>114</v>
      </c>
      <c r="D479">
        <v>26.2</v>
      </c>
      <c r="E479">
        <v>12.1</v>
      </c>
      <c r="F479">
        <v>7.0720000000000001</v>
      </c>
      <c r="G479">
        <v>1.7</v>
      </c>
    </row>
    <row r="480" spans="1:7">
      <c r="A480" s="3">
        <f t="shared" si="7"/>
        <v>33718</v>
      </c>
      <c r="B480">
        <v>1992</v>
      </c>
      <c r="C480">
        <v>115</v>
      </c>
      <c r="D480">
        <v>24</v>
      </c>
      <c r="E480">
        <v>12.5</v>
      </c>
      <c r="F480">
        <v>14.968</v>
      </c>
      <c r="G480">
        <v>0.2</v>
      </c>
    </row>
    <row r="481" spans="1:7">
      <c r="A481" s="3">
        <f t="shared" si="7"/>
        <v>33719</v>
      </c>
      <c r="B481">
        <v>1992</v>
      </c>
      <c r="C481">
        <v>116</v>
      </c>
      <c r="D481">
        <v>25</v>
      </c>
      <c r="E481">
        <v>12.5</v>
      </c>
      <c r="F481">
        <v>10.269</v>
      </c>
      <c r="G481">
        <v>0</v>
      </c>
    </row>
    <row r="482" spans="1:7">
      <c r="A482" s="3">
        <f t="shared" si="7"/>
        <v>33720</v>
      </c>
      <c r="B482">
        <v>1992</v>
      </c>
      <c r="C482">
        <v>117</v>
      </c>
      <c r="D482">
        <v>21.1</v>
      </c>
      <c r="E482">
        <v>15</v>
      </c>
      <c r="F482">
        <v>13.273</v>
      </c>
      <c r="G482">
        <v>1</v>
      </c>
    </row>
    <row r="483" spans="1:7">
      <c r="A483" s="3">
        <f t="shared" si="7"/>
        <v>33721</v>
      </c>
      <c r="B483">
        <v>1992</v>
      </c>
      <c r="C483">
        <v>118</v>
      </c>
      <c r="D483">
        <v>21</v>
      </c>
      <c r="E483">
        <v>16.3</v>
      </c>
      <c r="F483">
        <v>3.488</v>
      </c>
      <c r="G483">
        <v>11</v>
      </c>
    </row>
    <row r="484" spans="1:7">
      <c r="A484" s="3">
        <f t="shared" si="7"/>
        <v>33722</v>
      </c>
      <c r="B484">
        <v>1992</v>
      </c>
      <c r="C484">
        <v>119</v>
      </c>
      <c r="D484">
        <v>26.3</v>
      </c>
      <c r="E484">
        <v>16.8</v>
      </c>
      <c r="F484">
        <v>4.8920000000000003</v>
      </c>
      <c r="G484">
        <v>6.4</v>
      </c>
    </row>
    <row r="485" spans="1:7">
      <c r="A485" s="3">
        <f t="shared" si="7"/>
        <v>33723</v>
      </c>
      <c r="B485">
        <v>1992</v>
      </c>
      <c r="C485">
        <v>120</v>
      </c>
      <c r="D485">
        <v>27.7</v>
      </c>
      <c r="E485">
        <v>19.100000000000001</v>
      </c>
      <c r="F485">
        <v>9.0579999999999998</v>
      </c>
      <c r="G485">
        <v>0.1</v>
      </c>
    </row>
    <row r="486" spans="1:7">
      <c r="A486" s="3">
        <f t="shared" si="7"/>
        <v>33724</v>
      </c>
      <c r="B486">
        <v>1992</v>
      </c>
      <c r="C486">
        <v>121</v>
      </c>
      <c r="D486">
        <v>21.5</v>
      </c>
      <c r="E486">
        <v>15.8</v>
      </c>
      <c r="F486">
        <v>9.7850000000000001</v>
      </c>
      <c r="G486">
        <v>0</v>
      </c>
    </row>
  </sheetData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G365"/>
  <sheetViews>
    <sheetView topLeftCell="A155" workbookViewId="0">
      <selection activeCell="E155" sqref="E155"/>
    </sheetView>
  </sheetViews>
  <sheetFormatPr defaultRowHeight="13.2"/>
  <sheetData>
    <row r="1" spans="1:7">
      <c r="A1" t="s">
        <v>36</v>
      </c>
      <c r="B1">
        <v>2013</v>
      </c>
      <c r="C1">
        <v>1</v>
      </c>
      <c r="D1">
        <v>20.3</v>
      </c>
      <c r="E1">
        <v>30.88</v>
      </c>
      <c r="F1">
        <v>6.87</v>
      </c>
      <c r="G1">
        <v>0</v>
      </c>
    </row>
    <row r="2" spans="1:7">
      <c r="A2" t="s">
        <v>36</v>
      </c>
      <c r="B2">
        <v>2013</v>
      </c>
      <c r="C2">
        <v>2</v>
      </c>
      <c r="D2">
        <v>20.399999999999999</v>
      </c>
      <c r="E2">
        <v>29.97</v>
      </c>
      <c r="F2">
        <v>9.36</v>
      </c>
      <c r="G2">
        <v>0</v>
      </c>
    </row>
    <row r="3" spans="1:7">
      <c r="A3" t="s">
        <v>36</v>
      </c>
      <c r="B3">
        <v>2013</v>
      </c>
      <c r="C3">
        <v>3</v>
      </c>
      <c r="D3">
        <v>20.5</v>
      </c>
      <c r="E3">
        <v>30.84</v>
      </c>
      <c r="F3">
        <v>6.26</v>
      </c>
      <c r="G3">
        <v>0</v>
      </c>
    </row>
    <row r="4" spans="1:7">
      <c r="A4" t="s">
        <v>36</v>
      </c>
      <c r="B4">
        <v>2013</v>
      </c>
      <c r="C4">
        <v>4</v>
      </c>
      <c r="D4">
        <v>19.8</v>
      </c>
      <c r="E4">
        <v>31.79</v>
      </c>
      <c r="F4">
        <v>8.17</v>
      </c>
      <c r="G4">
        <v>0</v>
      </c>
    </row>
    <row r="5" spans="1:7">
      <c r="A5" t="s">
        <v>36</v>
      </c>
      <c r="B5">
        <v>2013</v>
      </c>
      <c r="C5">
        <v>5</v>
      </c>
      <c r="D5">
        <v>20.399999999999999</v>
      </c>
      <c r="E5">
        <v>30.47</v>
      </c>
      <c r="F5">
        <v>10.74</v>
      </c>
      <c r="G5">
        <v>0</v>
      </c>
    </row>
    <row r="6" spans="1:7">
      <c r="A6" t="s">
        <v>36</v>
      </c>
      <c r="B6">
        <v>2013</v>
      </c>
      <c r="C6">
        <v>6</v>
      </c>
      <c r="D6">
        <v>18.600000000000001</v>
      </c>
      <c r="E6">
        <v>28.27</v>
      </c>
      <c r="F6">
        <v>10.86</v>
      </c>
      <c r="G6">
        <v>0</v>
      </c>
    </row>
    <row r="7" spans="1:7">
      <c r="A7" t="s">
        <v>36</v>
      </c>
      <c r="B7">
        <v>2013</v>
      </c>
      <c r="C7">
        <v>7</v>
      </c>
      <c r="D7">
        <v>19.2</v>
      </c>
      <c r="E7">
        <v>27.95</v>
      </c>
      <c r="F7">
        <v>8.44</v>
      </c>
      <c r="G7">
        <v>0</v>
      </c>
    </row>
    <row r="8" spans="1:7">
      <c r="A8" t="s">
        <v>36</v>
      </c>
      <c r="B8">
        <v>2013</v>
      </c>
      <c r="C8">
        <v>8</v>
      </c>
      <c r="D8">
        <v>18</v>
      </c>
      <c r="E8">
        <v>30.47</v>
      </c>
      <c r="F8">
        <v>8.1</v>
      </c>
      <c r="G8">
        <v>0</v>
      </c>
    </row>
    <row r="9" spans="1:7">
      <c r="A9" t="s">
        <v>36</v>
      </c>
      <c r="B9">
        <v>2013</v>
      </c>
      <c r="C9">
        <v>9</v>
      </c>
      <c r="D9">
        <v>16.399999999999999</v>
      </c>
      <c r="E9">
        <v>31.49</v>
      </c>
      <c r="F9">
        <v>8.26</v>
      </c>
      <c r="G9">
        <v>0</v>
      </c>
    </row>
    <row r="10" spans="1:7">
      <c r="A10" t="s">
        <v>36</v>
      </c>
      <c r="B10">
        <v>2013</v>
      </c>
      <c r="C10">
        <v>10</v>
      </c>
      <c r="D10">
        <v>18.399999999999999</v>
      </c>
      <c r="E10">
        <v>32.869999999999997</v>
      </c>
      <c r="F10">
        <v>12</v>
      </c>
      <c r="G10">
        <v>0</v>
      </c>
    </row>
    <row r="11" spans="1:7">
      <c r="A11" t="s">
        <v>36</v>
      </c>
      <c r="B11">
        <v>2013</v>
      </c>
      <c r="C11">
        <v>11</v>
      </c>
      <c r="D11">
        <v>17.2</v>
      </c>
      <c r="E11">
        <v>32.43</v>
      </c>
      <c r="F11">
        <v>11.83</v>
      </c>
      <c r="G11">
        <v>0</v>
      </c>
    </row>
    <row r="12" spans="1:7">
      <c r="A12" t="s">
        <v>36</v>
      </c>
      <c r="B12">
        <v>2013</v>
      </c>
      <c r="C12">
        <v>12</v>
      </c>
      <c r="D12">
        <v>19.8</v>
      </c>
      <c r="E12">
        <v>33.76</v>
      </c>
      <c r="F12">
        <v>8.81</v>
      </c>
      <c r="G12">
        <v>0</v>
      </c>
    </row>
    <row r="13" spans="1:7">
      <c r="A13" t="s">
        <v>36</v>
      </c>
      <c r="B13">
        <v>2013</v>
      </c>
      <c r="C13">
        <v>13</v>
      </c>
      <c r="D13">
        <v>16.600000000000001</v>
      </c>
      <c r="E13">
        <v>33.83</v>
      </c>
      <c r="F13">
        <v>10.82</v>
      </c>
      <c r="G13">
        <v>0</v>
      </c>
    </row>
    <row r="14" spans="1:7">
      <c r="A14" t="s">
        <v>36</v>
      </c>
      <c r="B14">
        <v>2013</v>
      </c>
      <c r="C14">
        <v>14</v>
      </c>
      <c r="D14">
        <v>17</v>
      </c>
      <c r="E14">
        <v>34.369999999999997</v>
      </c>
      <c r="F14">
        <v>13.57</v>
      </c>
      <c r="G14">
        <v>0</v>
      </c>
    </row>
    <row r="15" spans="1:7">
      <c r="A15" t="s">
        <v>36</v>
      </c>
      <c r="B15">
        <v>2013</v>
      </c>
      <c r="C15">
        <v>15</v>
      </c>
      <c r="D15">
        <v>19.399999999999999</v>
      </c>
      <c r="E15">
        <v>34.340000000000003</v>
      </c>
      <c r="F15">
        <v>9.42</v>
      </c>
      <c r="G15">
        <v>0</v>
      </c>
    </row>
    <row r="16" spans="1:7">
      <c r="A16" t="s">
        <v>36</v>
      </c>
      <c r="B16">
        <v>2013</v>
      </c>
      <c r="C16">
        <v>16</v>
      </c>
      <c r="D16">
        <v>18.8</v>
      </c>
      <c r="E16">
        <v>33.83</v>
      </c>
      <c r="F16">
        <v>11.19</v>
      </c>
      <c r="G16">
        <v>0</v>
      </c>
    </row>
    <row r="17" spans="1:7">
      <c r="A17" t="s">
        <v>36</v>
      </c>
      <c r="B17">
        <v>2013</v>
      </c>
      <c r="C17">
        <v>17</v>
      </c>
      <c r="D17">
        <v>19.399999999999999</v>
      </c>
      <c r="E17">
        <v>32.5</v>
      </c>
      <c r="F17">
        <v>11.12</v>
      </c>
      <c r="G17">
        <v>0</v>
      </c>
    </row>
    <row r="18" spans="1:7">
      <c r="A18" t="s">
        <v>36</v>
      </c>
      <c r="B18">
        <v>2013</v>
      </c>
      <c r="C18">
        <v>18</v>
      </c>
      <c r="D18">
        <v>19</v>
      </c>
      <c r="E18">
        <v>32.56</v>
      </c>
      <c r="F18">
        <v>10.95</v>
      </c>
      <c r="G18">
        <v>0</v>
      </c>
    </row>
    <row r="19" spans="1:7">
      <c r="A19" t="s">
        <v>36</v>
      </c>
      <c r="B19">
        <v>2013</v>
      </c>
      <c r="C19">
        <v>19</v>
      </c>
      <c r="D19">
        <v>19.600000000000001</v>
      </c>
      <c r="E19">
        <v>32.840000000000003</v>
      </c>
      <c r="F19">
        <v>9.8000000000000007</v>
      </c>
      <c r="G19">
        <v>0</v>
      </c>
    </row>
    <row r="20" spans="1:7">
      <c r="A20" t="s">
        <v>36</v>
      </c>
      <c r="B20">
        <v>2013</v>
      </c>
      <c r="C20">
        <v>20</v>
      </c>
      <c r="D20">
        <v>18.8</v>
      </c>
      <c r="E20">
        <v>33.83</v>
      </c>
      <c r="F20">
        <v>8.27</v>
      </c>
      <c r="G20">
        <v>0</v>
      </c>
    </row>
    <row r="21" spans="1:7">
      <c r="A21" t="s">
        <v>36</v>
      </c>
      <c r="B21">
        <v>2013</v>
      </c>
      <c r="C21">
        <v>21</v>
      </c>
      <c r="D21">
        <v>17.600000000000001</v>
      </c>
      <c r="E21">
        <v>34.68</v>
      </c>
      <c r="F21">
        <v>8.5399999999999991</v>
      </c>
      <c r="G21">
        <v>0</v>
      </c>
    </row>
    <row r="22" spans="1:7">
      <c r="A22" t="s">
        <v>36</v>
      </c>
      <c r="B22">
        <v>2013</v>
      </c>
      <c r="C22">
        <v>22</v>
      </c>
      <c r="D22">
        <v>18.5</v>
      </c>
      <c r="E22">
        <v>34.29</v>
      </c>
      <c r="F22">
        <v>8.84</v>
      </c>
      <c r="G22">
        <v>0</v>
      </c>
    </row>
    <row r="23" spans="1:7">
      <c r="A23" t="s">
        <v>36</v>
      </c>
      <c r="B23">
        <v>2013</v>
      </c>
      <c r="C23">
        <v>23</v>
      </c>
      <c r="D23">
        <v>14.3</v>
      </c>
      <c r="E23">
        <v>33.86</v>
      </c>
      <c r="F23">
        <v>9.59</v>
      </c>
      <c r="G23">
        <v>0</v>
      </c>
    </row>
    <row r="24" spans="1:7">
      <c r="A24" t="s">
        <v>36</v>
      </c>
      <c r="B24">
        <v>2013</v>
      </c>
      <c r="C24">
        <v>24</v>
      </c>
      <c r="D24">
        <v>15.6</v>
      </c>
      <c r="E24">
        <v>34.46</v>
      </c>
      <c r="F24">
        <v>11.63</v>
      </c>
      <c r="G24">
        <v>0</v>
      </c>
    </row>
    <row r="25" spans="1:7">
      <c r="A25" t="s">
        <v>36</v>
      </c>
      <c r="B25">
        <v>2013</v>
      </c>
      <c r="C25">
        <v>25</v>
      </c>
      <c r="D25">
        <v>17.5</v>
      </c>
      <c r="E25">
        <v>35.51</v>
      </c>
      <c r="F25">
        <v>12.24</v>
      </c>
      <c r="G25">
        <v>0</v>
      </c>
    </row>
    <row r="26" spans="1:7">
      <c r="A26" t="s">
        <v>36</v>
      </c>
      <c r="B26">
        <v>2013</v>
      </c>
      <c r="C26">
        <v>26</v>
      </c>
      <c r="D26">
        <v>16.399999999999999</v>
      </c>
      <c r="E26">
        <v>36.200000000000003</v>
      </c>
      <c r="F26">
        <v>15.9</v>
      </c>
      <c r="G26">
        <v>0</v>
      </c>
    </row>
    <row r="27" spans="1:7">
      <c r="A27" t="s">
        <v>36</v>
      </c>
      <c r="B27">
        <v>2013</v>
      </c>
      <c r="C27">
        <v>27</v>
      </c>
      <c r="D27">
        <v>17.600000000000001</v>
      </c>
      <c r="E27">
        <v>32.46</v>
      </c>
      <c r="F27">
        <v>15.64</v>
      </c>
      <c r="G27">
        <v>0</v>
      </c>
    </row>
    <row r="28" spans="1:7">
      <c r="A28" t="s">
        <v>36</v>
      </c>
      <c r="B28">
        <v>2013</v>
      </c>
      <c r="C28">
        <v>28</v>
      </c>
      <c r="D28">
        <v>6.5</v>
      </c>
      <c r="E28">
        <v>28.14</v>
      </c>
      <c r="F28">
        <v>17.600000000000001</v>
      </c>
      <c r="G28">
        <v>0</v>
      </c>
    </row>
    <row r="29" spans="1:7">
      <c r="A29" t="s">
        <v>36</v>
      </c>
      <c r="B29">
        <v>2013</v>
      </c>
      <c r="C29">
        <v>29</v>
      </c>
      <c r="D29">
        <v>13.9</v>
      </c>
      <c r="E29">
        <v>31.84</v>
      </c>
      <c r="F29">
        <v>17.07</v>
      </c>
      <c r="G29">
        <v>0</v>
      </c>
    </row>
    <row r="30" spans="1:7">
      <c r="A30" t="s">
        <v>36</v>
      </c>
      <c r="B30">
        <v>2013</v>
      </c>
      <c r="C30">
        <v>30</v>
      </c>
      <c r="D30">
        <v>16.8</v>
      </c>
      <c r="E30">
        <v>33.01</v>
      </c>
      <c r="F30">
        <v>16.7</v>
      </c>
      <c r="G30">
        <v>0</v>
      </c>
    </row>
    <row r="31" spans="1:7">
      <c r="A31" t="s">
        <v>36</v>
      </c>
      <c r="B31">
        <v>2013</v>
      </c>
      <c r="C31">
        <v>31</v>
      </c>
      <c r="D31">
        <v>19.899999999999999</v>
      </c>
      <c r="E31">
        <v>35.33</v>
      </c>
      <c r="F31">
        <v>17.18</v>
      </c>
      <c r="G31">
        <v>0</v>
      </c>
    </row>
    <row r="32" spans="1:7">
      <c r="A32" t="s">
        <v>36</v>
      </c>
      <c r="B32">
        <v>2013</v>
      </c>
      <c r="C32">
        <v>32</v>
      </c>
      <c r="D32">
        <v>19.399999999999999</v>
      </c>
      <c r="E32">
        <v>35.549999999999997</v>
      </c>
      <c r="F32">
        <v>18.09</v>
      </c>
      <c r="G32">
        <v>0</v>
      </c>
    </row>
    <row r="33" spans="1:7">
      <c r="A33" t="s">
        <v>36</v>
      </c>
      <c r="B33">
        <v>2013</v>
      </c>
      <c r="C33">
        <v>33</v>
      </c>
      <c r="D33">
        <v>19.8</v>
      </c>
      <c r="E33">
        <v>32.4</v>
      </c>
      <c r="F33">
        <v>17.850000000000001</v>
      </c>
      <c r="G33">
        <v>0</v>
      </c>
    </row>
    <row r="34" spans="1:7">
      <c r="A34" t="s">
        <v>36</v>
      </c>
      <c r="B34">
        <v>2013</v>
      </c>
      <c r="C34">
        <v>34</v>
      </c>
      <c r="D34">
        <v>20.399999999999999</v>
      </c>
      <c r="E34">
        <v>32.369999999999997</v>
      </c>
      <c r="F34">
        <v>14.01</v>
      </c>
      <c r="G34">
        <v>0</v>
      </c>
    </row>
    <row r="35" spans="1:7">
      <c r="A35" t="s">
        <v>36</v>
      </c>
      <c r="B35">
        <v>2013</v>
      </c>
      <c r="C35">
        <v>35</v>
      </c>
      <c r="D35">
        <v>20.3</v>
      </c>
      <c r="E35">
        <v>33.33</v>
      </c>
      <c r="F35">
        <v>8.74</v>
      </c>
      <c r="G35">
        <v>0</v>
      </c>
    </row>
    <row r="36" spans="1:7">
      <c r="A36" t="s">
        <v>36</v>
      </c>
      <c r="B36">
        <v>2013</v>
      </c>
      <c r="C36">
        <v>36</v>
      </c>
      <c r="D36">
        <v>20.5</v>
      </c>
      <c r="E36">
        <v>34.82</v>
      </c>
      <c r="F36">
        <v>9.49</v>
      </c>
      <c r="G36">
        <v>0</v>
      </c>
    </row>
    <row r="37" spans="1:7">
      <c r="A37" t="s">
        <v>36</v>
      </c>
      <c r="B37">
        <v>2013</v>
      </c>
      <c r="C37">
        <v>37</v>
      </c>
      <c r="D37">
        <v>16.8</v>
      </c>
      <c r="E37">
        <v>34.479999999999997</v>
      </c>
      <c r="F37">
        <v>17.89</v>
      </c>
      <c r="G37">
        <v>0</v>
      </c>
    </row>
    <row r="38" spans="1:7">
      <c r="A38" t="s">
        <v>36</v>
      </c>
      <c r="B38">
        <v>2013</v>
      </c>
      <c r="C38">
        <v>38</v>
      </c>
      <c r="D38">
        <v>20.3</v>
      </c>
      <c r="E38">
        <v>35.159999999999997</v>
      </c>
      <c r="F38">
        <v>14.22</v>
      </c>
      <c r="G38">
        <v>0</v>
      </c>
    </row>
    <row r="39" spans="1:7">
      <c r="A39" t="s">
        <v>36</v>
      </c>
      <c r="B39">
        <v>2013</v>
      </c>
      <c r="C39">
        <v>39</v>
      </c>
      <c r="D39">
        <v>20.8</v>
      </c>
      <c r="E39">
        <v>35.619999999999997</v>
      </c>
      <c r="F39">
        <v>10.98</v>
      </c>
      <c r="G39">
        <v>0</v>
      </c>
    </row>
    <row r="40" spans="1:7">
      <c r="A40" t="s">
        <v>36</v>
      </c>
      <c r="B40">
        <v>2013</v>
      </c>
      <c r="C40">
        <v>40</v>
      </c>
      <c r="D40">
        <v>20.100000000000001</v>
      </c>
      <c r="E40">
        <v>36.85</v>
      </c>
      <c r="F40">
        <v>11.7</v>
      </c>
      <c r="G40">
        <v>0</v>
      </c>
    </row>
    <row r="41" spans="1:7">
      <c r="A41" t="s">
        <v>36</v>
      </c>
      <c r="B41">
        <v>2013</v>
      </c>
      <c r="C41">
        <v>41</v>
      </c>
      <c r="D41">
        <v>19.3</v>
      </c>
      <c r="E41">
        <v>36.68</v>
      </c>
      <c r="F41">
        <v>16.25</v>
      </c>
      <c r="G41">
        <v>0</v>
      </c>
    </row>
    <row r="42" spans="1:7">
      <c r="A42" t="s">
        <v>36</v>
      </c>
      <c r="B42">
        <v>2013</v>
      </c>
      <c r="C42">
        <v>42</v>
      </c>
      <c r="D42">
        <v>21</v>
      </c>
      <c r="E42">
        <v>38.26</v>
      </c>
      <c r="F42">
        <v>16.18</v>
      </c>
      <c r="G42">
        <v>0</v>
      </c>
    </row>
    <row r="43" spans="1:7">
      <c r="A43" t="s">
        <v>36</v>
      </c>
      <c r="B43">
        <v>2013</v>
      </c>
      <c r="C43">
        <v>43</v>
      </c>
      <c r="D43">
        <v>21</v>
      </c>
      <c r="E43">
        <v>38.020000000000003</v>
      </c>
      <c r="F43">
        <v>15.26</v>
      </c>
      <c r="G43">
        <v>0</v>
      </c>
    </row>
    <row r="44" spans="1:7">
      <c r="A44" t="s">
        <v>36</v>
      </c>
      <c r="B44">
        <v>2013</v>
      </c>
      <c r="C44">
        <v>44</v>
      </c>
      <c r="D44">
        <v>20.399999999999999</v>
      </c>
      <c r="E44">
        <v>37.89</v>
      </c>
      <c r="F44">
        <v>19.86</v>
      </c>
      <c r="G44">
        <v>0</v>
      </c>
    </row>
    <row r="45" spans="1:7">
      <c r="A45" t="s">
        <v>36</v>
      </c>
      <c r="B45">
        <v>2013</v>
      </c>
      <c r="C45">
        <v>45</v>
      </c>
      <c r="D45">
        <v>21.2</v>
      </c>
      <c r="E45">
        <v>37.659999999999997</v>
      </c>
      <c r="F45">
        <v>18.149999999999999</v>
      </c>
      <c r="G45">
        <v>0</v>
      </c>
    </row>
    <row r="46" spans="1:7">
      <c r="A46" t="s">
        <v>36</v>
      </c>
      <c r="B46">
        <v>2013</v>
      </c>
      <c r="C46">
        <v>46</v>
      </c>
      <c r="D46">
        <v>21.5</v>
      </c>
      <c r="E46">
        <v>37.03</v>
      </c>
      <c r="F46">
        <v>12.68</v>
      </c>
      <c r="G46">
        <v>0</v>
      </c>
    </row>
    <row r="47" spans="1:7">
      <c r="A47" t="s">
        <v>36</v>
      </c>
      <c r="B47">
        <v>2013</v>
      </c>
      <c r="C47">
        <v>47</v>
      </c>
      <c r="D47">
        <v>21.5</v>
      </c>
      <c r="E47">
        <v>37.68</v>
      </c>
      <c r="F47">
        <v>12.51</v>
      </c>
      <c r="G47">
        <v>0</v>
      </c>
    </row>
    <row r="48" spans="1:7">
      <c r="A48" t="s">
        <v>36</v>
      </c>
      <c r="B48">
        <v>2013</v>
      </c>
      <c r="C48">
        <v>48</v>
      </c>
      <c r="D48">
        <v>21.5</v>
      </c>
      <c r="E48">
        <v>38.840000000000003</v>
      </c>
      <c r="F48">
        <v>12.1</v>
      </c>
      <c r="G48">
        <v>0</v>
      </c>
    </row>
    <row r="49" spans="1:7">
      <c r="A49" t="s">
        <v>36</v>
      </c>
      <c r="B49">
        <v>2013</v>
      </c>
      <c r="C49">
        <v>49</v>
      </c>
      <c r="D49">
        <v>21.5</v>
      </c>
      <c r="E49">
        <v>37.68</v>
      </c>
      <c r="F49">
        <v>15.43</v>
      </c>
      <c r="G49">
        <v>0</v>
      </c>
    </row>
    <row r="50" spans="1:7">
      <c r="A50" t="s">
        <v>36</v>
      </c>
      <c r="B50">
        <v>2013</v>
      </c>
      <c r="C50">
        <v>50</v>
      </c>
      <c r="D50">
        <v>21.2</v>
      </c>
      <c r="E50">
        <v>37.880000000000003</v>
      </c>
      <c r="F50">
        <v>14.54</v>
      </c>
      <c r="G50">
        <v>0</v>
      </c>
    </row>
    <row r="51" spans="1:7">
      <c r="A51" t="s">
        <v>36</v>
      </c>
      <c r="B51">
        <v>2013</v>
      </c>
      <c r="C51">
        <v>51</v>
      </c>
      <c r="D51">
        <v>21</v>
      </c>
      <c r="E51">
        <v>37.82</v>
      </c>
      <c r="F51">
        <v>13.6</v>
      </c>
      <c r="G51">
        <v>0</v>
      </c>
    </row>
    <row r="52" spans="1:7">
      <c r="A52" t="s">
        <v>36</v>
      </c>
      <c r="B52">
        <v>2013</v>
      </c>
      <c r="C52">
        <v>52</v>
      </c>
      <c r="D52">
        <v>21.2</v>
      </c>
      <c r="E52">
        <v>36.979999999999997</v>
      </c>
      <c r="F52">
        <v>17.489999999999998</v>
      </c>
      <c r="G52">
        <v>0</v>
      </c>
    </row>
    <row r="53" spans="1:7">
      <c r="A53" t="s">
        <v>36</v>
      </c>
      <c r="B53">
        <v>2013</v>
      </c>
      <c r="C53">
        <v>53</v>
      </c>
      <c r="D53">
        <v>21</v>
      </c>
      <c r="E53">
        <v>35.090000000000003</v>
      </c>
      <c r="F53">
        <v>15.64</v>
      </c>
      <c r="G53">
        <v>0</v>
      </c>
    </row>
    <row r="54" spans="1:7">
      <c r="A54" t="s">
        <v>36</v>
      </c>
      <c r="B54">
        <v>2013</v>
      </c>
      <c r="C54">
        <v>54</v>
      </c>
      <c r="D54">
        <v>21.5</v>
      </c>
      <c r="E54">
        <v>37.14</v>
      </c>
      <c r="F54">
        <v>12.24</v>
      </c>
      <c r="G54">
        <v>0</v>
      </c>
    </row>
    <row r="55" spans="1:7">
      <c r="A55" t="s">
        <v>36</v>
      </c>
      <c r="B55">
        <v>2013</v>
      </c>
      <c r="C55">
        <v>55</v>
      </c>
      <c r="D55">
        <v>18.7</v>
      </c>
      <c r="E55">
        <v>38.840000000000003</v>
      </c>
      <c r="F55">
        <v>17.059999999999999</v>
      </c>
      <c r="G55">
        <v>0</v>
      </c>
    </row>
    <row r="56" spans="1:7">
      <c r="A56" t="s">
        <v>36</v>
      </c>
      <c r="B56">
        <v>2013</v>
      </c>
      <c r="C56">
        <v>56</v>
      </c>
      <c r="D56">
        <v>20.7</v>
      </c>
      <c r="E56">
        <v>38.5</v>
      </c>
      <c r="F56">
        <v>18.22</v>
      </c>
      <c r="G56">
        <v>0</v>
      </c>
    </row>
    <row r="57" spans="1:7">
      <c r="A57" t="s">
        <v>36</v>
      </c>
      <c r="B57">
        <v>2013</v>
      </c>
      <c r="C57">
        <v>57</v>
      </c>
      <c r="D57">
        <v>21</v>
      </c>
      <c r="E57">
        <v>38.979999999999997</v>
      </c>
      <c r="F57">
        <v>17.88</v>
      </c>
      <c r="G57">
        <v>0</v>
      </c>
    </row>
    <row r="58" spans="1:7">
      <c r="A58" t="s">
        <v>36</v>
      </c>
      <c r="B58">
        <v>2013</v>
      </c>
      <c r="C58">
        <v>58</v>
      </c>
      <c r="D58">
        <v>21.1</v>
      </c>
      <c r="E58">
        <v>39.69</v>
      </c>
      <c r="F58">
        <v>14.15</v>
      </c>
      <c r="G58">
        <v>0</v>
      </c>
    </row>
    <row r="59" spans="1:7">
      <c r="A59" t="s">
        <v>36</v>
      </c>
      <c r="B59">
        <v>2013</v>
      </c>
      <c r="C59">
        <v>59</v>
      </c>
      <c r="D59">
        <v>20.3</v>
      </c>
      <c r="E59">
        <v>41.35</v>
      </c>
      <c r="F59">
        <v>16.66</v>
      </c>
      <c r="G59">
        <v>0</v>
      </c>
    </row>
    <row r="60" spans="1:7">
      <c r="A60" t="s">
        <v>36</v>
      </c>
      <c r="B60">
        <v>2013</v>
      </c>
      <c r="C60">
        <v>60</v>
      </c>
      <c r="D60">
        <v>20.8</v>
      </c>
      <c r="E60">
        <v>40.81</v>
      </c>
      <c r="F60">
        <v>18.18</v>
      </c>
      <c r="G60">
        <v>0</v>
      </c>
    </row>
    <row r="61" spans="1:7">
      <c r="A61" t="s">
        <v>36</v>
      </c>
      <c r="B61">
        <v>2013</v>
      </c>
      <c r="C61">
        <v>61</v>
      </c>
      <c r="D61">
        <v>20.2</v>
      </c>
      <c r="E61">
        <v>39.35</v>
      </c>
      <c r="F61">
        <v>17.13</v>
      </c>
      <c r="G61">
        <v>0</v>
      </c>
    </row>
    <row r="62" spans="1:7">
      <c r="A62" t="s">
        <v>36</v>
      </c>
      <c r="B62">
        <v>2013</v>
      </c>
      <c r="C62">
        <v>62</v>
      </c>
      <c r="D62">
        <v>18.3</v>
      </c>
      <c r="E62">
        <v>39.39</v>
      </c>
      <c r="F62">
        <v>17.95</v>
      </c>
      <c r="G62">
        <v>0</v>
      </c>
    </row>
    <row r="63" spans="1:7">
      <c r="A63" t="s">
        <v>36</v>
      </c>
      <c r="B63">
        <v>2013</v>
      </c>
      <c r="C63">
        <v>63</v>
      </c>
      <c r="D63">
        <v>18.7</v>
      </c>
      <c r="E63">
        <v>40</v>
      </c>
      <c r="F63">
        <v>16.66</v>
      </c>
      <c r="G63">
        <v>0</v>
      </c>
    </row>
    <row r="64" spans="1:7">
      <c r="A64" t="s">
        <v>36</v>
      </c>
      <c r="B64">
        <v>2013</v>
      </c>
      <c r="C64">
        <v>64</v>
      </c>
      <c r="D64">
        <v>20.8</v>
      </c>
      <c r="E64">
        <v>41.22</v>
      </c>
      <c r="F64">
        <v>16.22</v>
      </c>
      <c r="G64">
        <v>0</v>
      </c>
    </row>
    <row r="65" spans="1:7">
      <c r="A65" t="s">
        <v>36</v>
      </c>
      <c r="B65">
        <v>2013</v>
      </c>
      <c r="C65">
        <v>65</v>
      </c>
      <c r="D65">
        <v>21.7</v>
      </c>
      <c r="E65">
        <v>40.909999999999997</v>
      </c>
      <c r="F65">
        <v>20.73</v>
      </c>
      <c r="G65">
        <v>0</v>
      </c>
    </row>
    <row r="66" spans="1:7">
      <c r="A66" t="s">
        <v>36</v>
      </c>
      <c r="B66">
        <v>2013</v>
      </c>
      <c r="C66">
        <v>66</v>
      </c>
      <c r="D66">
        <v>21.2</v>
      </c>
      <c r="E66">
        <v>40.909999999999997</v>
      </c>
      <c r="F66">
        <v>17.649999999999999</v>
      </c>
      <c r="G66">
        <v>0</v>
      </c>
    </row>
    <row r="67" spans="1:7">
      <c r="A67" t="s">
        <v>36</v>
      </c>
      <c r="B67">
        <v>2013</v>
      </c>
      <c r="C67">
        <v>67</v>
      </c>
      <c r="D67">
        <v>21.5</v>
      </c>
      <c r="E67">
        <v>42.34</v>
      </c>
      <c r="F67">
        <v>22.74</v>
      </c>
      <c r="G67">
        <v>0</v>
      </c>
    </row>
    <row r="68" spans="1:7">
      <c r="A68" t="s">
        <v>36</v>
      </c>
      <c r="B68">
        <v>2013</v>
      </c>
      <c r="C68">
        <v>68</v>
      </c>
      <c r="D68">
        <v>21.4</v>
      </c>
      <c r="E68">
        <v>41.83</v>
      </c>
      <c r="F68">
        <v>21.07</v>
      </c>
      <c r="G68">
        <v>0</v>
      </c>
    </row>
    <row r="69" spans="1:7">
      <c r="A69" t="s">
        <v>36</v>
      </c>
      <c r="B69">
        <v>2013</v>
      </c>
      <c r="C69">
        <v>69</v>
      </c>
      <c r="D69">
        <v>21.7</v>
      </c>
      <c r="E69">
        <v>42.51</v>
      </c>
      <c r="F69">
        <v>17.760000000000002</v>
      </c>
      <c r="G69">
        <v>0</v>
      </c>
    </row>
    <row r="70" spans="1:7">
      <c r="A70" t="s">
        <v>36</v>
      </c>
      <c r="B70">
        <v>2013</v>
      </c>
      <c r="C70">
        <v>70</v>
      </c>
      <c r="D70">
        <v>22</v>
      </c>
      <c r="E70">
        <v>42.07</v>
      </c>
      <c r="F70">
        <v>19.38</v>
      </c>
      <c r="G70">
        <v>0</v>
      </c>
    </row>
    <row r="71" spans="1:7">
      <c r="A71" t="s">
        <v>36</v>
      </c>
      <c r="B71">
        <v>2013</v>
      </c>
      <c r="C71">
        <v>71</v>
      </c>
      <c r="D71">
        <v>18.7</v>
      </c>
      <c r="E71">
        <v>41.01</v>
      </c>
      <c r="F71">
        <v>18.899999999999999</v>
      </c>
      <c r="G71">
        <v>0</v>
      </c>
    </row>
    <row r="72" spans="1:7">
      <c r="A72" t="s">
        <v>36</v>
      </c>
      <c r="B72">
        <v>2013</v>
      </c>
      <c r="C72">
        <v>72</v>
      </c>
      <c r="D72">
        <v>22.4</v>
      </c>
      <c r="E72">
        <v>41.64</v>
      </c>
      <c r="F72">
        <v>17.579999999999998</v>
      </c>
      <c r="G72">
        <v>0</v>
      </c>
    </row>
    <row r="73" spans="1:7">
      <c r="A73" t="s">
        <v>36</v>
      </c>
      <c r="B73">
        <v>2013</v>
      </c>
      <c r="C73">
        <v>73</v>
      </c>
      <c r="D73">
        <v>21.6</v>
      </c>
      <c r="E73">
        <v>41.83</v>
      </c>
      <c r="F73">
        <v>16.53</v>
      </c>
      <c r="G73">
        <v>0</v>
      </c>
    </row>
    <row r="74" spans="1:7">
      <c r="A74" t="s">
        <v>36</v>
      </c>
      <c r="B74">
        <v>2013</v>
      </c>
      <c r="C74">
        <v>74</v>
      </c>
      <c r="D74">
        <v>22.4</v>
      </c>
      <c r="E74">
        <v>41.02</v>
      </c>
      <c r="F74">
        <v>17.2</v>
      </c>
      <c r="G74">
        <v>0</v>
      </c>
    </row>
    <row r="75" spans="1:7">
      <c r="A75" t="s">
        <v>36</v>
      </c>
      <c r="B75">
        <v>2013</v>
      </c>
      <c r="C75">
        <v>75</v>
      </c>
      <c r="D75">
        <v>23.7</v>
      </c>
      <c r="E75">
        <v>40.98</v>
      </c>
      <c r="F75">
        <v>15.81</v>
      </c>
      <c r="G75">
        <v>0</v>
      </c>
    </row>
    <row r="76" spans="1:7">
      <c r="A76" t="s">
        <v>36</v>
      </c>
      <c r="B76">
        <v>2013</v>
      </c>
      <c r="C76">
        <v>76</v>
      </c>
      <c r="D76">
        <v>18.8</v>
      </c>
      <c r="E76">
        <v>40.24</v>
      </c>
      <c r="F76">
        <v>17</v>
      </c>
      <c r="G76">
        <v>0</v>
      </c>
    </row>
    <row r="77" spans="1:7">
      <c r="A77" t="s">
        <v>36</v>
      </c>
      <c r="B77">
        <v>2013</v>
      </c>
      <c r="C77">
        <v>77</v>
      </c>
      <c r="D77">
        <v>22.8</v>
      </c>
      <c r="E77">
        <v>43.23</v>
      </c>
      <c r="F77">
        <v>15.3</v>
      </c>
      <c r="G77">
        <v>0</v>
      </c>
    </row>
    <row r="78" spans="1:7">
      <c r="A78" t="s">
        <v>36</v>
      </c>
      <c r="B78">
        <v>2013</v>
      </c>
      <c r="C78">
        <v>78</v>
      </c>
      <c r="D78">
        <v>21</v>
      </c>
      <c r="E78">
        <v>41.28</v>
      </c>
      <c r="F78">
        <v>17.649999999999999</v>
      </c>
      <c r="G78">
        <v>0</v>
      </c>
    </row>
    <row r="79" spans="1:7">
      <c r="A79" t="s">
        <v>36</v>
      </c>
      <c r="B79">
        <v>2013</v>
      </c>
      <c r="C79">
        <v>79</v>
      </c>
      <c r="D79">
        <v>21.8</v>
      </c>
      <c r="E79">
        <v>40.159999999999997</v>
      </c>
      <c r="F79">
        <v>23.29</v>
      </c>
      <c r="G79">
        <v>0</v>
      </c>
    </row>
    <row r="80" spans="1:7">
      <c r="A80" t="s">
        <v>36</v>
      </c>
      <c r="B80">
        <v>2013</v>
      </c>
      <c r="C80">
        <v>80</v>
      </c>
      <c r="D80">
        <v>20.399999999999999</v>
      </c>
      <c r="E80">
        <v>42.78</v>
      </c>
      <c r="F80">
        <v>21.55</v>
      </c>
      <c r="G80">
        <v>0</v>
      </c>
    </row>
    <row r="81" spans="1:7">
      <c r="A81" t="s">
        <v>36</v>
      </c>
      <c r="B81">
        <v>2013</v>
      </c>
      <c r="C81">
        <v>81</v>
      </c>
      <c r="D81">
        <v>21</v>
      </c>
      <c r="E81">
        <v>42.85</v>
      </c>
      <c r="F81">
        <v>20.45</v>
      </c>
      <c r="G81">
        <v>0</v>
      </c>
    </row>
    <row r="82" spans="1:7">
      <c r="A82" t="s">
        <v>36</v>
      </c>
      <c r="B82">
        <v>2013</v>
      </c>
      <c r="C82">
        <v>82</v>
      </c>
      <c r="D82">
        <v>20.7</v>
      </c>
      <c r="E82">
        <v>41.15</v>
      </c>
      <c r="F82">
        <v>19.86</v>
      </c>
      <c r="G82">
        <v>0</v>
      </c>
    </row>
    <row r="83" spans="1:7">
      <c r="A83" t="s">
        <v>36</v>
      </c>
      <c r="B83">
        <v>2013</v>
      </c>
      <c r="C83">
        <v>83</v>
      </c>
      <c r="D83">
        <v>21</v>
      </c>
      <c r="E83">
        <v>42.28</v>
      </c>
      <c r="F83">
        <v>22.4</v>
      </c>
      <c r="G83">
        <v>0</v>
      </c>
    </row>
    <row r="84" spans="1:7">
      <c r="A84" t="s">
        <v>36</v>
      </c>
      <c r="B84">
        <v>2013</v>
      </c>
      <c r="C84">
        <v>84</v>
      </c>
      <c r="D84">
        <v>23.3</v>
      </c>
      <c r="E84">
        <v>42.31</v>
      </c>
      <c r="F84">
        <v>18.079999999999998</v>
      </c>
      <c r="G84">
        <v>0</v>
      </c>
    </row>
    <row r="85" spans="1:7">
      <c r="A85" t="s">
        <v>36</v>
      </c>
      <c r="B85">
        <v>2013</v>
      </c>
      <c r="C85">
        <v>85</v>
      </c>
      <c r="D85">
        <v>22.1</v>
      </c>
      <c r="E85">
        <v>42.31</v>
      </c>
      <c r="F85">
        <v>21.23</v>
      </c>
      <c r="G85">
        <v>0</v>
      </c>
    </row>
    <row r="86" spans="1:7">
      <c r="A86" t="s">
        <v>36</v>
      </c>
      <c r="B86">
        <v>2013</v>
      </c>
      <c r="C86">
        <v>86</v>
      </c>
      <c r="D86">
        <v>21.9</v>
      </c>
      <c r="E86">
        <v>39.32</v>
      </c>
      <c r="F86">
        <v>23.12</v>
      </c>
      <c r="G86">
        <v>0</v>
      </c>
    </row>
    <row r="87" spans="1:7">
      <c r="A87" t="s">
        <v>36</v>
      </c>
      <c r="B87">
        <v>2013</v>
      </c>
      <c r="C87">
        <v>87</v>
      </c>
      <c r="D87">
        <v>22.1</v>
      </c>
      <c r="E87">
        <v>41.59</v>
      </c>
      <c r="F87">
        <v>21.93</v>
      </c>
      <c r="G87">
        <v>0</v>
      </c>
    </row>
    <row r="88" spans="1:7">
      <c r="A88" t="s">
        <v>36</v>
      </c>
      <c r="B88">
        <v>2013</v>
      </c>
      <c r="C88">
        <v>88</v>
      </c>
      <c r="D88">
        <v>19.7</v>
      </c>
      <c r="E88">
        <v>41.84</v>
      </c>
      <c r="F88">
        <v>23.29</v>
      </c>
      <c r="G88">
        <v>0</v>
      </c>
    </row>
    <row r="89" spans="1:7">
      <c r="A89" t="s">
        <v>36</v>
      </c>
      <c r="B89">
        <v>2013</v>
      </c>
      <c r="C89">
        <v>89</v>
      </c>
      <c r="D89">
        <v>22.4</v>
      </c>
      <c r="E89">
        <v>41.37</v>
      </c>
      <c r="F89">
        <v>19.649999999999999</v>
      </c>
      <c r="G89">
        <v>0</v>
      </c>
    </row>
    <row r="90" spans="1:7">
      <c r="A90" t="s">
        <v>36</v>
      </c>
      <c r="B90">
        <v>2013</v>
      </c>
      <c r="C90">
        <v>90</v>
      </c>
      <c r="D90">
        <v>24.1</v>
      </c>
      <c r="E90">
        <v>41.23</v>
      </c>
      <c r="F90">
        <v>19.72</v>
      </c>
      <c r="G90">
        <v>0</v>
      </c>
    </row>
    <row r="91" spans="1:7">
      <c r="A91" t="s">
        <v>36</v>
      </c>
      <c r="B91">
        <v>2013</v>
      </c>
      <c r="C91">
        <v>91</v>
      </c>
      <c r="D91">
        <v>24.1</v>
      </c>
      <c r="E91">
        <v>40.98</v>
      </c>
      <c r="F91">
        <v>19.79</v>
      </c>
      <c r="G91">
        <v>0</v>
      </c>
    </row>
    <row r="92" spans="1:7">
      <c r="A92" t="s">
        <v>36</v>
      </c>
      <c r="B92">
        <v>2013</v>
      </c>
      <c r="C92">
        <v>92</v>
      </c>
      <c r="D92">
        <v>23.6</v>
      </c>
      <c r="E92">
        <v>41.35</v>
      </c>
      <c r="F92">
        <v>15.62</v>
      </c>
      <c r="G92">
        <v>0</v>
      </c>
    </row>
    <row r="93" spans="1:7">
      <c r="A93" t="s">
        <v>36</v>
      </c>
      <c r="B93">
        <v>2013</v>
      </c>
      <c r="C93">
        <v>93</v>
      </c>
      <c r="D93">
        <v>22.6</v>
      </c>
      <c r="E93">
        <v>41.69</v>
      </c>
      <c r="F93">
        <v>19.59</v>
      </c>
      <c r="G93">
        <v>0</v>
      </c>
    </row>
    <row r="94" spans="1:7">
      <c r="A94" t="s">
        <v>36</v>
      </c>
      <c r="B94">
        <v>2013</v>
      </c>
      <c r="C94">
        <v>94</v>
      </c>
      <c r="D94">
        <v>15.7</v>
      </c>
      <c r="E94">
        <v>40.340000000000003</v>
      </c>
      <c r="F94">
        <v>24.16</v>
      </c>
      <c r="G94">
        <v>0</v>
      </c>
    </row>
    <row r="95" spans="1:7">
      <c r="A95" t="s">
        <v>36</v>
      </c>
      <c r="B95">
        <v>2013</v>
      </c>
      <c r="C95">
        <v>95</v>
      </c>
      <c r="D95">
        <v>15</v>
      </c>
      <c r="E95">
        <v>37.83</v>
      </c>
      <c r="F95">
        <v>25.42</v>
      </c>
      <c r="G95">
        <v>0</v>
      </c>
    </row>
    <row r="96" spans="1:7">
      <c r="A96" t="s">
        <v>36</v>
      </c>
      <c r="B96">
        <v>2013</v>
      </c>
      <c r="C96">
        <v>96</v>
      </c>
      <c r="D96">
        <v>18.8</v>
      </c>
      <c r="E96">
        <v>40</v>
      </c>
      <c r="F96">
        <v>25.08</v>
      </c>
      <c r="G96">
        <v>0</v>
      </c>
    </row>
    <row r="97" spans="1:7">
      <c r="A97" t="s">
        <v>36</v>
      </c>
      <c r="B97">
        <v>2013</v>
      </c>
      <c r="C97">
        <v>97</v>
      </c>
      <c r="D97">
        <v>19.7</v>
      </c>
      <c r="E97">
        <v>38.090000000000003</v>
      </c>
      <c r="F97">
        <v>24.47</v>
      </c>
      <c r="G97">
        <v>0</v>
      </c>
    </row>
    <row r="98" spans="1:7">
      <c r="A98" t="s">
        <v>36</v>
      </c>
      <c r="B98">
        <v>2013</v>
      </c>
      <c r="C98">
        <v>98</v>
      </c>
      <c r="D98">
        <v>17.399999999999999</v>
      </c>
      <c r="E98">
        <v>40.85</v>
      </c>
      <c r="F98">
        <v>21.79</v>
      </c>
      <c r="G98">
        <v>0</v>
      </c>
    </row>
    <row r="99" spans="1:7">
      <c r="A99" t="s">
        <v>36</v>
      </c>
      <c r="B99">
        <v>2013</v>
      </c>
      <c r="C99">
        <v>99</v>
      </c>
      <c r="D99">
        <v>23.6</v>
      </c>
      <c r="E99">
        <v>41.7</v>
      </c>
      <c r="F99">
        <v>20.8</v>
      </c>
      <c r="G99">
        <v>0</v>
      </c>
    </row>
    <row r="100" spans="1:7">
      <c r="A100" t="s">
        <v>36</v>
      </c>
      <c r="B100">
        <v>2013</v>
      </c>
      <c r="C100">
        <v>100</v>
      </c>
      <c r="D100">
        <v>23.1</v>
      </c>
      <c r="E100">
        <v>41.77</v>
      </c>
      <c r="F100">
        <v>20.399999999999999</v>
      </c>
      <c r="G100">
        <v>0</v>
      </c>
    </row>
    <row r="101" spans="1:7">
      <c r="A101" t="s">
        <v>36</v>
      </c>
      <c r="B101">
        <v>2013</v>
      </c>
      <c r="C101">
        <v>101</v>
      </c>
      <c r="D101">
        <v>22.6</v>
      </c>
      <c r="E101">
        <v>42.06</v>
      </c>
      <c r="F101">
        <v>24.28</v>
      </c>
      <c r="G101">
        <v>0</v>
      </c>
    </row>
    <row r="102" spans="1:7">
      <c r="A102" t="s">
        <v>36</v>
      </c>
      <c r="B102">
        <v>2013</v>
      </c>
      <c r="C102">
        <v>102</v>
      </c>
      <c r="D102">
        <v>21.3</v>
      </c>
      <c r="E102">
        <v>41.83</v>
      </c>
      <c r="F102">
        <v>22.75</v>
      </c>
      <c r="G102">
        <v>0</v>
      </c>
    </row>
    <row r="103" spans="1:7">
      <c r="A103" t="s">
        <v>36</v>
      </c>
      <c r="B103">
        <v>2013</v>
      </c>
      <c r="C103">
        <v>103</v>
      </c>
      <c r="D103">
        <v>21.5</v>
      </c>
      <c r="E103">
        <v>41.99</v>
      </c>
      <c r="F103">
        <v>24.13</v>
      </c>
      <c r="G103">
        <v>0</v>
      </c>
    </row>
    <row r="104" spans="1:7">
      <c r="A104" t="s">
        <v>36</v>
      </c>
      <c r="B104">
        <v>2013</v>
      </c>
      <c r="C104">
        <v>104</v>
      </c>
      <c r="D104">
        <v>20.2</v>
      </c>
      <c r="E104">
        <v>38.6</v>
      </c>
      <c r="F104">
        <v>25.22</v>
      </c>
      <c r="G104">
        <v>0</v>
      </c>
    </row>
    <row r="105" spans="1:7">
      <c r="A105" t="s">
        <v>36</v>
      </c>
      <c r="B105">
        <v>2013</v>
      </c>
      <c r="C105">
        <v>105</v>
      </c>
      <c r="D105">
        <v>22.2</v>
      </c>
      <c r="E105">
        <v>41.83</v>
      </c>
      <c r="F105">
        <v>22.95</v>
      </c>
      <c r="G105">
        <v>0</v>
      </c>
    </row>
    <row r="106" spans="1:7">
      <c r="A106" t="s">
        <v>36</v>
      </c>
      <c r="B106">
        <v>2013</v>
      </c>
      <c r="C106">
        <v>106</v>
      </c>
      <c r="D106">
        <v>22.8</v>
      </c>
      <c r="E106">
        <v>43.02</v>
      </c>
      <c r="F106">
        <v>23.33</v>
      </c>
      <c r="G106">
        <v>0</v>
      </c>
    </row>
    <row r="107" spans="1:7">
      <c r="A107" t="s">
        <v>36</v>
      </c>
      <c r="B107">
        <v>2013</v>
      </c>
      <c r="C107">
        <v>107</v>
      </c>
      <c r="D107">
        <v>22.8</v>
      </c>
      <c r="E107">
        <v>43.06</v>
      </c>
      <c r="F107">
        <v>19.11</v>
      </c>
      <c r="G107">
        <v>0</v>
      </c>
    </row>
    <row r="108" spans="1:7">
      <c r="A108" t="s">
        <v>36</v>
      </c>
      <c r="B108">
        <v>2013</v>
      </c>
      <c r="C108">
        <v>108</v>
      </c>
      <c r="D108">
        <v>23.5</v>
      </c>
      <c r="E108">
        <v>42.2</v>
      </c>
      <c r="F108">
        <v>18.47</v>
      </c>
      <c r="G108">
        <v>0</v>
      </c>
    </row>
    <row r="109" spans="1:7">
      <c r="A109" t="s">
        <v>36</v>
      </c>
      <c r="B109">
        <v>2013</v>
      </c>
      <c r="C109">
        <v>109</v>
      </c>
      <c r="D109">
        <v>23.4</v>
      </c>
      <c r="E109">
        <v>42.57</v>
      </c>
      <c r="F109">
        <v>18.03</v>
      </c>
      <c r="G109">
        <v>0</v>
      </c>
    </row>
    <row r="110" spans="1:7">
      <c r="A110" t="s">
        <v>36</v>
      </c>
      <c r="B110">
        <v>2013</v>
      </c>
      <c r="C110">
        <v>110</v>
      </c>
      <c r="D110">
        <v>21.5</v>
      </c>
      <c r="E110">
        <v>39.090000000000003</v>
      </c>
      <c r="F110">
        <v>22.71</v>
      </c>
      <c r="G110">
        <v>0</v>
      </c>
    </row>
    <row r="111" spans="1:7">
      <c r="A111" t="s">
        <v>36</v>
      </c>
      <c r="B111">
        <v>2013</v>
      </c>
      <c r="C111">
        <v>111</v>
      </c>
      <c r="D111">
        <v>22</v>
      </c>
      <c r="E111">
        <v>41.49</v>
      </c>
      <c r="F111">
        <v>24.88</v>
      </c>
      <c r="G111">
        <v>0</v>
      </c>
    </row>
    <row r="112" spans="1:7">
      <c r="A112" t="s">
        <v>36</v>
      </c>
      <c r="B112">
        <v>2013</v>
      </c>
      <c r="C112">
        <v>112</v>
      </c>
      <c r="D112">
        <v>20.3</v>
      </c>
      <c r="E112">
        <v>41.01</v>
      </c>
      <c r="F112">
        <v>25.25</v>
      </c>
      <c r="G112">
        <v>0</v>
      </c>
    </row>
    <row r="113" spans="1:7">
      <c r="A113" t="s">
        <v>36</v>
      </c>
      <c r="B113">
        <v>2013</v>
      </c>
      <c r="C113">
        <v>113</v>
      </c>
      <c r="D113">
        <v>22.8</v>
      </c>
      <c r="E113">
        <v>40.75</v>
      </c>
      <c r="F113">
        <v>24.64</v>
      </c>
      <c r="G113">
        <v>0</v>
      </c>
    </row>
    <row r="114" spans="1:7">
      <c r="A114" t="s">
        <v>36</v>
      </c>
      <c r="B114">
        <v>2013</v>
      </c>
      <c r="C114">
        <v>114</v>
      </c>
      <c r="D114">
        <v>22.9</v>
      </c>
      <c r="E114">
        <v>41.55</v>
      </c>
      <c r="F114">
        <v>23.33</v>
      </c>
      <c r="G114">
        <v>0</v>
      </c>
    </row>
    <row r="115" spans="1:7">
      <c r="A115" t="s">
        <v>36</v>
      </c>
      <c r="B115">
        <v>2013</v>
      </c>
      <c r="C115">
        <v>115</v>
      </c>
      <c r="D115">
        <v>21.6</v>
      </c>
      <c r="E115">
        <v>40.479999999999997</v>
      </c>
      <c r="F115">
        <v>23.26</v>
      </c>
      <c r="G115">
        <v>0</v>
      </c>
    </row>
    <row r="116" spans="1:7">
      <c r="A116" t="s">
        <v>36</v>
      </c>
      <c r="B116">
        <v>2013</v>
      </c>
      <c r="C116">
        <v>116</v>
      </c>
      <c r="D116">
        <v>21.9</v>
      </c>
      <c r="E116">
        <v>40.75</v>
      </c>
      <c r="F116">
        <v>24.22</v>
      </c>
      <c r="G116">
        <v>0</v>
      </c>
    </row>
    <row r="117" spans="1:7">
      <c r="A117" t="s">
        <v>36</v>
      </c>
      <c r="B117">
        <v>2013</v>
      </c>
      <c r="C117">
        <v>117</v>
      </c>
      <c r="D117">
        <v>20.399999999999999</v>
      </c>
      <c r="E117">
        <v>40.119999999999997</v>
      </c>
      <c r="F117">
        <v>24.78</v>
      </c>
      <c r="G117">
        <v>0</v>
      </c>
    </row>
    <row r="118" spans="1:7">
      <c r="A118" t="s">
        <v>36</v>
      </c>
      <c r="B118">
        <v>2013</v>
      </c>
      <c r="C118">
        <v>118</v>
      </c>
      <c r="D118">
        <v>21.5</v>
      </c>
      <c r="E118">
        <v>40.33</v>
      </c>
      <c r="F118">
        <v>24.37</v>
      </c>
      <c r="G118">
        <v>0</v>
      </c>
    </row>
    <row r="119" spans="1:7">
      <c r="A119" t="s">
        <v>36</v>
      </c>
      <c r="B119">
        <v>2013</v>
      </c>
      <c r="C119">
        <v>119</v>
      </c>
      <c r="D119">
        <v>22.1</v>
      </c>
      <c r="E119">
        <v>41.42</v>
      </c>
      <c r="F119">
        <v>22.85</v>
      </c>
      <c r="G119">
        <v>0</v>
      </c>
    </row>
    <row r="120" spans="1:7">
      <c r="A120" t="s">
        <v>36</v>
      </c>
      <c r="B120">
        <v>2013</v>
      </c>
      <c r="C120">
        <v>120</v>
      </c>
      <c r="D120">
        <v>23.5</v>
      </c>
      <c r="E120">
        <v>41.76</v>
      </c>
      <c r="F120">
        <v>20.440000000000001</v>
      </c>
      <c r="G120">
        <v>0</v>
      </c>
    </row>
    <row r="121" spans="1:7">
      <c r="A121" t="s">
        <v>36</v>
      </c>
      <c r="B121">
        <v>2013</v>
      </c>
      <c r="C121">
        <v>121</v>
      </c>
      <c r="D121">
        <v>20.6</v>
      </c>
      <c r="E121">
        <v>41.23</v>
      </c>
      <c r="F121">
        <v>26.31</v>
      </c>
      <c r="G121">
        <v>1</v>
      </c>
    </row>
    <row r="122" spans="1:7">
      <c r="A122" t="s">
        <v>36</v>
      </c>
      <c r="B122">
        <v>2013</v>
      </c>
      <c r="C122">
        <v>122</v>
      </c>
      <c r="D122">
        <v>17.7</v>
      </c>
      <c r="E122">
        <v>41.86</v>
      </c>
      <c r="F122">
        <v>24.51</v>
      </c>
      <c r="G122">
        <v>0</v>
      </c>
    </row>
    <row r="123" spans="1:7">
      <c r="A123" t="s">
        <v>36</v>
      </c>
      <c r="B123">
        <v>2013</v>
      </c>
      <c r="C123">
        <v>123</v>
      </c>
      <c r="D123">
        <v>21.3</v>
      </c>
      <c r="E123">
        <v>40.840000000000003</v>
      </c>
      <c r="F123">
        <v>26.14</v>
      </c>
      <c r="G123">
        <v>0</v>
      </c>
    </row>
    <row r="124" spans="1:7">
      <c r="A124" t="s">
        <v>36</v>
      </c>
      <c r="B124">
        <v>2013</v>
      </c>
      <c r="C124">
        <v>124</v>
      </c>
      <c r="D124">
        <v>21.9</v>
      </c>
      <c r="E124">
        <v>42.36</v>
      </c>
      <c r="F124">
        <v>24.81</v>
      </c>
      <c r="G124">
        <v>0.5</v>
      </c>
    </row>
    <row r="125" spans="1:7">
      <c r="A125" t="s">
        <v>36</v>
      </c>
      <c r="B125">
        <v>2013</v>
      </c>
      <c r="C125">
        <v>125</v>
      </c>
      <c r="D125">
        <v>10.1</v>
      </c>
      <c r="E125">
        <v>36.5</v>
      </c>
      <c r="F125">
        <v>24.67</v>
      </c>
      <c r="G125">
        <v>0</v>
      </c>
    </row>
    <row r="126" spans="1:7">
      <c r="A126" t="s">
        <v>36</v>
      </c>
      <c r="B126">
        <v>2013</v>
      </c>
      <c r="C126">
        <v>126</v>
      </c>
      <c r="D126">
        <v>22.7</v>
      </c>
      <c r="E126">
        <v>41.39</v>
      </c>
      <c r="F126">
        <v>22.88</v>
      </c>
      <c r="G126">
        <v>0</v>
      </c>
    </row>
    <row r="127" spans="1:7">
      <c r="A127" t="s">
        <v>36</v>
      </c>
      <c r="B127">
        <v>2013</v>
      </c>
      <c r="C127">
        <v>127</v>
      </c>
      <c r="D127">
        <v>21.3</v>
      </c>
      <c r="E127">
        <v>41.29</v>
      </c>
      <c r="F127">
        <v>22.99</v>
      </c>
      <c r="G127">
        <v>0</v>
      </c>
    </row>
    <row r="128" spans="1:7">
      <c r="A128" t="s">
        <v>36</v>
      </c>
      <c r="B128">
        <v>2013</v>
      </c>
      <c r="C128">
        <v>128</v>
      </c>
      <c r="D128">
        <v>23.8</v>
      </c>
      <c r="E128">
        <v>42.06</v>
      </c>
      <c r="F128">
        <v>21.43</v>
      </c>
      <c r="G128">
        <v>0</v>
      </c>
    </row>
    <row r="129" spans="1:7">
      <c r="A129" t="s">
        <v>36</v>
      </c>
      <c r="B129">
        <v>2013</v>
      </c>
      <c r="C129">
        <v>129</v>
      </c>
      <c r="D129">
        <v>18.8</v>
      </c>
      <c r="E129">
        <v>41.6</v>
      </c>
      <c r="F129">
        <v>23.53</v>
      </c>
      <c r="G129">
        <v>0</v>
      </c>
    </row>
    <row r="130" spans="1:7">
      <c r="A130" t="s">
        <v>36</v>
      </c>
      <c r="B130">
        <v>2013</v>
      </c>
      <c r="C130">
        <v>130</v>
      </c>
      <c r="D130">
        <v>23.6</v>
      </c>
      <c r="E130">
        <v>41.18</v>
      </c>
      <c r="F130">
        <v>24.74</v>
      </c>
      <c r="G130">
        <v>0</v>
      </c>
    </row>
    <row r="131" spans="1:7">
      <c r="A131" t="s">
        <v>36</v>
      </c>
      <c r="B131">
        <v>2013</v>
      </c>
      <c r="C131">
        <v>131</v>
      </c>
      <c r="D131">
        <v>24.1</v>
      </c>
      <c r="E131">
        <v>42.63</v>
      </c>
      <c r="F131">
        <v>25.01</v>
      </c>
      <c r="G131">
        <v>0</v>
      </c>
    </row>
    <row r="132" spans="1:7">
      <c r="A132" t="s">
        <v>36</v>
      </c>
      <c r="B132">
        <v>2013</v>
      </c>
      <c r="C132">
        <v>132</v>
      </c>
      <c r="D132">
        <v>23.7</v>
      </c>
      <c r="E132">
        <v>42.34</v>
      </c>
      <c r="F132">
        <v>25.29</v>
      </c>
      <c r="G132">
        <v>0</v>
      </c>
    </row>
    <row r="133" spans="1:7">
      <c r="A133" t="s">
        <v>36</v>
      </c>
      <c r="B133">
        <v>2013</v>
      </c>
      <c r="C133">
        <v>133</v>
      </c>
      <c r="D133">
        <v>23.7</v>
      </c>
      <c r="E133">
        <v>41.32</v>
      </c>
      <c r="F133">
        <v>24.5</v>
      </c>
      <c r="G133">
        <v>0</v>
      </c>
    </row>
    <row r="134" spans="1:7">
      <c r="A134" t="s">
        <v>36</v>
      </c>
      <c r="B134">
        <v>2013</v>
      </c>
      <c r="C134">
        <v>134</v>
      </c>
      <c r="D134">
        <v>24.2</v>
      </c>
      <c r="E134">
        <v>42.2</v>
      </c>
      <c r="F134">
        <v>27.37</v>
      </c>
      <c r="G134">
        <v>0</v>
      </c>
    </row>
    <row r="135" spans="1:7">
      <c r="A135" t="s">
        <v>36</v>
      </c>
      <c r="B135">
        <v>2013</v>
      </c>
      <c r="C135">
        <v>135</v>
      </c>
      <c r="D135">
        <v>18.100000000000001</v>
      </c>
      <c r="E135">
        <v>40.65</v>
      </c>
      <c r="F135">
        <v>26.42</v>
      </c>
      <c r="G135">
        <v>0</v>
      </c>
    </row>
    <row r="136" spans="1:7">
      <c r="A136" t="s">
        <v>36</v>
      </c>
      <c r="B136">
        <v>2013</v>
      </c>
      <c r="C136">
        <v>136</v>
      </c>
      <c r="D136">
        <v>20.100000000000001</v>
      </c>
      <c r="E136">
        <v>39.56</v>
      </c>
      <c r="F136">
        <v>26.18</v>
      </c>
      <c r="G136">
        <v>7.1</v>
      </c>
    </row>
    <row r="137" spans="1:7">
      <c r="A137" t="s">
        <v>36</v>
      </c>
      <c r="B137">
        <v>2013</v>
      </c>
      <c r="C137">
        <v>137</v>
      </c>
      <c r="D137">
        <v>19.7</v>
      </c>
      <c r="E137">
        <v>36.26</v>
      </c>
      <c r="F137">
        <v>22.77</v>
      </c>
      <c r="G137">
        <v>0</v>
      </c>
    </row>
    <row r="138" spans="1:7">
      <c r="A138" t="s">
        <v>36</v>
      </c>
      <c r="B138">
        <v>2013</v>
      </c>
      <c r="C138">
        <v>138</v>
      </c>
      <c r="D138">
        <v>24.4</v>
      </c>
      <c r="E138">
        <v>39.590000000000003</v>
      </c>
      <c r="F138">
        <v>24.95</v>
      </c>
      <c r="G138">
        <v>1.8</v>
      </c>
    </row>
    <row r="139" spans="1:7">
      <c r="A139" t="s">
        <v>36</v>
      </c>
      <c r="B139">
        <v>2013</v>
      </c>
      <c r="C139">
        <v>139</v>
      </c>
      <c r="D139">
        <v>9.5</v>
      </c>
      <c r="E139">
        <v>31.19</v>
      </c>
      <c r="F139">
        <v>22.16</v>
      </c>
      <c r="G139">
        <v>0</v>
      </c>
    </row>
    <row r="140" spans="1:7">
      <c r="A140" t="s">
        <v>36</v>
      </c>
      <c r="B140">
        <v>2013</v>
      </c>
      <c r="C140">
        <v>140</v>
      </c>
      <c r="D140">
        <v>23.2</v>
      </c>
      <c r="E140">
        <v>40.61</v>
      </c>
      <c r="F140">
        <v>22.64</v>
      </c>
      <c r="G140">
        <v>0</v>
      </c>
    </row>
    <row r="141" spans="1:7">
      <c r="A141" t="s">
        <v>36</v>
      </c>
      <c r="B141">
        <v>2013</v>
      </c>
      <c r="C141">
        <v>141</v>
      </c>
      <c r="D141">
        <v>22.7</v>
      </c>
      <c r="E141">
        <v>40.159999999999997</v>
      </c>
      <c r="F141">
        <v>26.48</v>
      </c>
      <c r="G141">
        <v>0</v>
      </c>
    </row>
    <row r="142" spans="1:7">
      <c r="A142" t="s">
        <v>36</v>
      </c>
      <c r="B142">
        <v>2013</v>
      </c>
      <c r="C142">
        <v>142</v>
      </c>
      <c r="D142">
        <v>19.7</v>
      </c>
      <c r="E142">
        <v>38.369999999999997</v>
      </c>
      <c r="F142">
        <v>26.18</v>
      </c>
      <c r="G142">
        <v>0</v>
      </c>
    </row>
    <row r="143" spans="1:7">
      <c r="A143" t="s">
        <v>36</v>
      </c>
      <c r="B143">
        <v>2013</v>
      </c>
      <c r="C143">
        <v>143</v>
      </c>
      <c r="D143">
        <v>21.3</v>
      </c>
      <c r="E143">
        <v>40.4</v>
      </c>
      <c r="F143">
        <v>25.77</v>
      </c>
      <c r="G143">
        <v>0</v>
      </c>
    </row>
    <row r="144" spans="1:7">
      <c r="A144" t="s">
        <v>36</v>
      </c>
      <c r="B144">
        <v>2013</v>
      </c>
      <c r="C144">
        <v>144</v>
      </c>
      <c r="D144">
        <v>19.7</v>
      </c>
      <c r="E144">
        <v>39.97</v>
      </c>
      <c r="F144">
        <v>27.33</v>
      </c>
      <c r="G144">
        <v>0</v>
      </c>
    </row>
    <row r="145" spans="1:7">
      <c r="A145" t="s">
        <v>36</v>
      </c>
      <c r="B145">
        <v>2013</v>
      </c>
      <c r="C145">
        <v>145</v>
      </c>
      <c r="D145">
        <v>23.4</v>
      </c>
      <c r="E145">
        <v>41.75</v>
      </c>
      <c r="F145">
        <v>23.67</v>
      </c>
      <c r="G145">
        <v>0</v>
      </c>
    </row>
    <row r="146" spans="1:7">
      <c r="A146" t="s">
        <v>36</v>
      </c>
      <c r="B146">
        <v>2013</v>
      </c>
      <c r="C146">
        <v>146</v>
      </c>
      <c r="D146">
        <v>20.100000000000001</v>
      </c>
      <c r="E146">
        <v>42.27</v>
      </c>
      <c r="F146">
        <v>27.8</v>
      </c>
      <c r="G146">
        <v>0</v>
      </c>
    </row>
    <row r="147" spans="1:7">
      <c r="A147" t="s">
        <v>36</v>
      </c>
      <c r="B147">
        <v>2013</v>
      </c>
      <c r="C147">
        <v>147</v>
      </c>
      <c r="D147">
        <v>17.399999999999999</v>
      </c>
      <c r="E147">
        <v>40.51</v>
      </c>
      <c r="F147">
        <v>28.92</v>
      </c>
      <c r="G147">
        <v>30</v>
      </c>
    </row>
    <row r="148" spans="1:7">
      <c r="A148" t="s">
        <v>36</v>
      </c>
      <c r="B148">
        <v>2013</v>
      </c>
      <c r="C148">
        <v>148</v>
      </c>
      <c r="D148">
        <v>4.8</v>
      </c>
      <c r="E148">
        <v>31.3</v>
      </c>
      <c r="F148">
        <v>20.53</v>
      </c>
      <c r="G148">
        <v>0</v>
      </c>
    </row>
    <row r="149" spans="1:7">
      <c r="A149" t="s">
        <v>36</v>
      </c>
      <c r="B149">
        <v>2013</v>
      </c>
      <c r="C149">
        <v>149</v>
      </c>
      <c r="D149">
        <v>15.7</v>
      </c>
      <c r="E149">
        <v>32.950000000000003</v>
      </c>
      <c r="F149">
        <v>21.63</v>
      </c>
      <c r="G149">
        <v>0</v>
      </c>
    </row>
    <row r="150" spans="1:7">
      <c r="A150" t="s">
        <v>36</v>
      </c>
      <c r="B150">
        <v>2013</v>
      </c>
      <c r="C150">
        <v>150</v>
      </c>
      <c r="D150">
        <v>21</v>
      </c>
      <c r="E150">
        <v>39.04</v>
      </c>
      <c r="F150">
        <v>23.77</v>
      </c>
      <c r="G150">
        <v>0</v>
      </c>
    </row>
    <row r="151" spans="1:7">
      <c r="A151" t="s">
        <v>36</v>
      </c>
      <c r="B151">
        <v>2013</v>
      </c>
      <c r="C151">
        <v>151</v>
      </c>
      <c r="D151">
        <v>21.4</v>
      </c>
      <c r="E151">
        <v>38.5</v>
      </c>
      <c r="F151">
        <v>26.89</v>
      </c>
      <c r="G151">
        <v>0</v>
      </c>
    </row>
    <row r="152" spans="1:7">
      <c r="A152" t="s">
        <v>36</v>
      </c>
      <c r="B152">
        <v>2013</v>
      </c>
      <c r="C152">
        <v>152</v>
      </c>
      <c r="D152">
        <v>18.2</v>
      </c>
      <c r="E152">
        <v>36.47</v>
      </c>
      <c r="F152">
        <v>25.49</v>
      </c>
      <c r="G152">
        <v>0</v>
      </c>
    </row>
    <row r="153" spans="1:7">
      <c r="A153" t="s">
        <v>36</v>
      </c>
      <c r="B153">
        <v>2013</v>
      </c>
      <c r="C153">
        <v>153</v>
      </c>
      <c r="D153">
        <v>21.6</v>
      </c>
      <c r="E153">
        <v>38.4</v>
      </c>
      <c r="F153">
        <v>25.32</v>
      </c>
      <c r="G153">
        <v>0</v>
      </c>
    </row>
    <row r="154" spans="1:7">
      <c r="A154" t="s">
        <v>36</v>
      </c>
      <c r="B154">
        <v>2013</v>
      </c>
      <c r="C154">
        <v>154</v>
      </c>
      <c r="D154">
        <v>18.7</v>
      </c>
      <c r="E154">
        <v>36.61</v>
      </c>
      <c r="F154">
        <v>25.42</v>
      </c>
      <c r="G154">
        <v>0</v>
      </c>
    </row>
    <row r="155" spans="1:7">
      <c r="A155" t="s">
        <v>36</v>
      </c>
      <c r="B155">
        <v>2013</v>
      </c>
      <c r="C155">
        <v>155</v>
      </c>
      <c r="D155">
        <v>21.1</v>
      </c>
      <c r="E155">
        <v>40.479999999999997</v>
      </c>
      <c r="F155">
        <v>25.53</v>
      </c>
      <c r="G155">
        <v>0</v>
      </c>
    </row>
    <row r="156" spans="1:7">
      <c r="A156" t="s">
        <v>36</v>
      </c>
      <c r="B156">
        <v>2013</v>
      </c>
      <c r="C156">
        <v>156</v>
      </c>
      <c r="D156">
        <v>22.6</v>
      </c>
      <c r="E156">
        <v>38.43</v>
      </c>
      <c r="F156">
        <v>26.72</v>
      </c>
      <c r="G156">
        <v>0</v>
      </c>
    </row>
    <row r="157" spans="1:7">
      <c r="A157" t="s">
        <v>36</v>
      </c>
      <c r="B157">
        <v>2013</v>
      </c>
      <c r="C157">
        <v>157</v>
      </c>
      <c r="D157">
        <v>14.4</v>
      </c>
      <c r="E157">
        <v>33.29</v>
      </c>
      <c r="F157">
        <v>20.54</v>
      </c>
      <c r="G157">
        <v>13.2</v>
      </c>
    </row>
    <row r="158" spans="1:7">
      <c r="A158" t="s">
        <v>36</v>
      </c>
      <c r="B158">
        <v>2013</v>
      </c>
      <c r="C158">
        <v>158</v>
      </c>
      <c r="D158">
        <v>22.6</v>
      </c>
      <c r="E158">
        <v>37.340000000000003</v>
      </c>
      <c r="F158">
        <v>23.19</v>
      </c>
      <c r="G158">
        <v>0</v>
      </c>
    </row>
    <row r="159" spans="1:7">
      <c r="A159" t="s">
        <v>36</v>
      </c>
      <c r="B159">
        <v>2013</v>
      </c>
      <c r="C159">
        <v>159</v>
      </c>
      <c r="D159">
        <v>19.3</v>
      </c>
      <c r="E159">
        <v>36.94</v>
      </c>
      <c r="F159">
        <v>23.81</v>
      </c>
      <c r="G159">
        <v>0</v>
      </c>
    </row>
    <row r="160" spans="1:7">
      <c r="A160" t="s">
        <v>36</v>
      </c>
      <c r="B160">
        <v>2013</v>
      </c>
      <c r="C160">
        <v>160</v>
      </c>
      <c r="D160">
        <v>22.2</v>
      </c>
      <c r="E160">
        <v>38.159999999999997</v>
      </c>
      <c r="F160">
        <v>24.48</v>
      </c>
      <c r="G160">
        <v>0</v>
      </c>
    </row>
    <row r="161" spans="1:7">
      <c r="A161" t="s">
        <v>36</v>
      </c>
      <c r="B161">
        <v>2013</v>
      </c>
      <c r="C161">
        <v>161</v>
      </c>
      <c r="D161">
        <v>13.5</v>
      </c>
      <c r="E161">
        <v>30.47</v>
      </c>
      <c r="F161">
        <v>20.91</v>
      </c>
      <c r="G161">
        <v>16</v>
      </c>
    </row>
    <row r="162" spans="1:7">
      <c r="A162" t="s">
        <v>36</v>
      </c>
      <c r="B162">
        <v>2013</v>
      </c>
      <c r="C162">
        <v>162</v>
      </c>
      <c r="D162">
        <v>21.8</v>
      </c>
      <c r="E162">
        <v>35.18</v>
      </c>
      <c r="F162">
        <v>23.12</v>
      </c>
      <c r="G162">
        <v>0</v>
      </c>
    </row>
    <row r="163" spans="1:7">
      <c r="A163" t="s">
        <v>36</v>
      </c>
      <c r="B163">
        <v>2013</v>
      </c>
      <c r="C163">
        <v>163</v>
      </c>
      <c r="D163">
        <v>22.6</v>
      </c>
      <c r="E163">
        <v>36.81</v>
      </c>
      <c r="F163">
        <v>24.84</v>
      </c>
      <c r="G163">
        <v>0</v>
      </c>
    </row>
    <row r="164" spans="1:7">
      <c r="A164" t="s">
        <v>36</v>
      </c>
      <c r="B164">
        <v>2013</v>
      </c>
      <c r="C164">
        <v>164</v>
      </c>
      <c r="D164">
        <v>21.2</v>
      </c>
      <c r="E164">
        <v>38.5</v>
      </c>
      <c r="F164">
        <v>24.13</v>
      </c>
      <c r="G164">
        <v>0</v>
      </c>
    </row>
    <row r="165" spans="1:7">
      <c r="A165" t="s">
        <v>36</v>
      </c>
      <c r="B165">
        <v>2013</v>
      </c>
      <c r="C165">
        <v>165</v>
      </c>
      <c r="D165">
        <v>23.2</v>
      </c>
      <c r="E165">
        <v>41.69</v>
      </c>
      <c r="F165">
        <v>23.99</v>
      </c>
      <c r="G165">
        <v>0</v>
      </c>
    </row>
    <row r="166" spans="1:7">
      <c r="A166" t="s">
        <v>36</v>
      </c>
      <c r="B166">
        <v>2013</v>
      </c>
      <c r="C166">
        <v>166</v>
      </c>
      <c r="D166">
        <v>17.3</v>
      </c>
      <c r="E166">
        <v>33.36</v>
      </c>
      <c r="F166">
        <v>18.39</v>
      </c>
      <c r="G166">
        <v>95.3</v>
      </c>
    </row>
    <row r="167" spans="1:7">
      <c r="A167" t="s">
        <v>36</v>
      </c>
      <c r="B167">
        <v>2013</v>
      </c>
      <c r="C167">
        <v>167</v>
      </c>
      <c r="D167">
        <v>22</v>
      </c>
      <c r="E167">
        <v>35.93</v>
      </c>
      <c r="F167">
        <v>23.5</v>
      </c>
      <c r="G167">
        <v>0</v>
      </c>
    </row>
    <row r="168" spans="1:7">
      <c r="A168" t="s">
        <v>36</v>
      </c>
      <c r="B168">
        <v>2013</v>
      </c>
      <c r="C168">
        <v>168</v>
      </c>
      <c r="D168">
        <v>22.8</v>
      </c>
      <c r="E168">
        <v>37.08</v>
      </c>
      <c r="F168">
        <v>21.06</v>
      </c>
      <c r="G168">
        <v>4.3</v>
      </c>
    </row>
    <row r="169" spans="1:7">
      <c r="A169" t="s">
        <v>36</v>
      </c>
      <c r="B169">
        <v>2013</v>
      </c>
      <c r="C169">
        <v>169</v>
      </c>
      <c r="D169">
        <v>21.5</v>
      </c>
      <c r="E169">
        <v>36.07</v>
      </c>
      <c r="F169">
        <v>23.29</v>
      </c>
      <c r="G169">
        <v>0</v>
      </c>
    </row>
    <row r="170" spans="1:7">
      <c r="A170" t="s">
        <v>36</v>
      </c>
      <c r="B170">
        <v>2013</v>
      </c>
      <c r="C170">
        <v>170</v>
      </c>
      <c r="D170">
        <v>11.6</v>
      </c>
      <c r="E170">
        <v>30.7</v>
      </c>
      <c r="F170">
        <v>19.07</v>
      </c>
      <c r="G170">
        <v>29.2</v>
      </c>
    </row>
    <row r="171" spans="1:7">
      <c r="A171" t="s">
        <v>36</v>
      </c>
      <c r="B171">
        <v>2013</v>
      </c>
      <c r="C171">
        <v>171</v>
      </c>
      <c r="D171">
        <v>22.6</v>
      </c>
      <c r="E171">
        <v>35.119999999999997</v>
      </c>
      <c r="F171">
        <v>23.19</v>
      </c>
      <c r="G171">
        <v>0</v>
      </c>
    </row>
    <row r="172" spans="1:7">
      <c r="A172" t="s">
        <v>36</v>
      </c>
      <c r="B172">
        <v>2013</v>
      </c>
      <c r="C172">
        <v>172</v>
      </c>
      <c r="D172">
        <v>23</v>
      </c>
      <c r="E172">
        <v>36</v>
      </c>
      <c r="F172">
        <v>23.94</v>
      </c>
      <c r="G172">
        <v>0</v>
      </c>
    </row>
    <row r="173" spans="1:7">
      <c r="A173" t="s">
        <v>36</v>
      </c>
      <c r="B173">
        <v>2013</v>
      </c>
      <c r="C173">
        <v>173</v>
      </c>
      <c r="D173">
        <v>22.6</v>
      </c>
      <c r="E173">
        <v>35.729999999999997</v>
      </c>
      <c r="F173">
        <v>23.22</v>
      </c>
      <c r="G173">
        <v>0</v>
      </c>
    </row>
    <row r="174" spans="1:7">
      <c r="A174" t="s">
        <v>36</v>
      </c>
      <c r="B174">
        <v>2013</v>
      </c>
      <c r="C174">
        <v>174</v>
      </c>
      <c r="D174">
        <v>21.8</v>
      </c>
      <c r="E174">
        <v>36.17</v>
      </c>
      <c r="F174">
        <v>20.329999999999998</v>
      </c>
      <c r="G174">
        <v>5.3</v>
      </c>
    </row>
    <row r="175" spans="1:7">
      <c r="A175" t="s">
        <v>36</v>
      </c>
      <c r="B175">
        <v>2013</v>
      </c>
      <c r="C175">
        <v>175</v>
      </c>
      <c r="D175">
        <v>23.6</v>
      </c>
      <c r="E175">
        <v>38</v>
      </c>
      <c r="F175">
        <v>23.6</v>
      </c>
      <c r="G175">
        <v>0</v>
      </c>
    </row>
    <row r="176" spans="1:7">
      <c r="A176" t="s">
        <v>36</v>
      </c>
      <c r="B176">
        <v>2013</v>
      </c>
      <c r="C176">
        <v>176</v>
      </c>
      <c r="D176">
        <v>21.8</v>
      </c>
      <c r="E176">
        <v>36.61</v>
      </c>
      <c r="F176">
        <v>23.26</v>
      </c>
      <c r="G176">
        <v>0</v>
      </c>
    </row>
    <row r="177" spans="1:7">
      <c r="A177" t="s">
        <v>36</v>
      </c>
      <c r="B177">
        <v>2013</v>
      </c>
      <c r="C177">
        <v>177</v>
      </c>
      <c r="D177">
        <v>22.5</v>
      </c>
      <c r="E177">
        <v>38.03</v>
      </c>
      <c r="F177">
        <v>24.33</v>
      </c>
      <c r="G177">
        <v>0</v>
      </c>
    </row>
    <row r="178" spans="1:7">
      <c r="A178" t="s">
        <v>36</v>
      </c>
      <c r="B178">
        <v>2013</v>
      </c>
      <c r="C178">
        <v>178</v>
      </c>
      <c r="D178">
        <v>18.5</v>
      </c>
      <c r="E178">
        <v>33.72</v>
      </c>
      <c r="F178">
        <v>22.03</v>
      </c>
      <c r="G178">
        <v>1.5</v>
      </c>
    </row>
    <row r="179" spans="1:7">
      <c r="A179" t="s">
        <v>36</v>
      </c>
      <c r="B179">
        <v>2013</v>
      </c>
      <c r="C179">
        <v>179</v>
      </c>
      <c r="D179">
        <v>20.3</v>
      </c>
      <c r="E179">
        <v>35.72</v>
      </c>
      <c r="F179">
        <v>21.82</v>
      </c>
      <c r="G179">
        <v>34.5</v>
      </c>
    </row>
    <row r="180" spans="1:7">
      <c r="A180" t="s">
        <v>36</v>
      </c>
      <c r="B180">
        <v>2013</v>
      </c>
      <c r="C180">
        <v>180</v>
      </c>
      <c r="D180">
        <v>20.9</v>
      </c>
      <c r="E180">
        <v>33.619999999999997</v>
      </c>
      <c r="F180">
        <v>21.72</v>
      </c>
      <c r="G180">
        <v>0.8</v>
      </c>
    </row>
    <row r="181" spans="1:7">
      <c r="A181" t="s">
        <v>36</v>
      </c>
      <c r="B181">
        <v>2013</v>
      </c>
      <c r="C181">
        <v>181</v>
      </c>
      <c r="D181">
        <v>21.7</v>
      </c>
      <c r="E181">
        <v>32.68</v>
      </c>
      <c r="F181">
        <v>22.99</v>
      </c>
      <c r="G181">
        <v>0</v>
      </c>
    </row>
    <row r="182" spans="1:7">
      <c r="A182" t="s">
        <v>36</v>
      </c>
      <c r="B182">
        <v>2013</v>
      </c>
      <c r="C182">
        <v>182</v>
      </c>
      <c r="D182">
        <v>14.1</v>
      </c>
      <c r="E182">
        <v>30.98</v>
      </c>
      <c r="F182">
        <v>19.77</v>
      </c>
      <c r="G182">
        <v>38.4</v>
      </c>
    </row>
    <row r="183" spans="1:7">
      <c r="A183" t="s">
        <v>36</v>
      </c>
      <c r="B183">
        <v>2013</v>
      </c>
      <c r="C183">
        <v>183</v>
      </c>
      <c r="D183">
        <v>16</v>
      </c>
      <c r="E183">
        <v>30.67</v>
      </c>
      <c r="F183">
        <v>21.69</v>
      </c>
      <c r="G183">
        <v>6.9</v>
      </c>
    </row>
    <row r="184" spans="1:7">
      <c r="A184" t="s">
        <v>36</v>
      </c>
      <c r="B184">
        <v>2013</v>
      </c>
      <c r="C184">
        <v>184</v>
      </c>
      <c r="D184">
        <v>21</v>
      </c>
      <c r="E184">
        <v>34.28</v>
      </c>
      <c r="F184">
        <v>21.69</v>
      </c>
      <c r="G184">
        <v>0</v>
      </c>
    </row>
    <row r="185" spans="1:7">
      <c r="A185" t="s">
        <v>36</v>
      </c>
      <c r="B185">
        <v>2013</v>
      </c>
      <c r="C185">
        <v>185</v>
      </c>
      <c r="D185">
        <v>17.8</v>
      </c>
      <c r="E185">
        <v>31.8</v>
      </c>
      <c r="F185">
        <v>22.16</v>
      </c>
      <c r="G185">
        <v>0</v>
      </c>
    </row>
    <row r="186" spans="1:7">
      <c r="A186" t="s">
        <v>36</v>
      </c>
      <c r="B186">
        <v>2013</v>
      </c>
      <c r="C186">
        <v>186</v>
      </c>
      <c r="D186">
        <v>22.9</v>
      </c>
      <c r="E186">
        <v>35.11</v>
      </c>
      <c r="F186">
        <v>19.95</v>
      </c>
      <c r="G186">
        <v>6.5</v>
      </c>
    </row>
    <row r="187" spans="1:7">
      <c r="A187" t="s">
        <v>36</v>
      </c>
      <c r="B187">
        <v>2013</v>
      </c>
      <c r="C187">
        <v>187</v>
      </c>
      <c r="D187">
        <v>14.6</v>
      </c>
      <c r="E187">
        <v>30.52</v>
      </c>
      <c r="F187">
        <v>20.2</v>
      </c>
      <c r="G187">
        <v>0</v>
      </c>
    </row>
    <row r="188" spans="1:7">
      <c r="A188" t="s">
        <v>36</v>
      </c>
      <c r="B188">
        <v>2013</v>
      </c>
      <c r="C188">
        <v>188</v>
      </c>
      <c r="D188">
        <v>18.3</v>
      </c>
      <c r="E188">
        <v>34.44</v>
      </c>
      <c r="F188">
        <v>21.93</v>
      </c>
      <c r="G188">
        <v>0</v>
      </c>
    </row>
    <row r="189" spans="1:7">
      <c r="A189" t="s">
        <v>36</v>
      </c>
      <c r="B189">
        <v>2013</v>
      </c>
      <c r="C189">
        <v>189</v>
      </c>
      <c r="D189">
        <v>22</v>
      </c>
      <c r="E189">
        <v>34.78</v>
      </c>
      <c r="F189">
        <v>22.03</v>
      </c>
      <c r="G189">
        <v>20.6</v>
      </c>
    </row>
    <row r="190" spans="1:7">
      <c r="A190" t="s">
        <v>36</v>
      </c>
      <c r="B190">
        <v>2013</v>
      </c>
      <c r="C190">
        <v>190</v>
      </c>
      <c r="D190">
        <v>16.5</v>
      </c>
      <c r="E190">
        <v>31.02</v>
      </c>
      <c r="F190">
        <v>21.34</v>
      </c>
      <c r="G190">
        <v>0</v>
      </c>
    </row>
    <row r="191" spans="1:7">
      <c r="A191" t="s">
        <v>36</v>
      </c>
      <c r="B191">
        <v>2013</v>
      </c>
      <c r="C191">
        <v>191</v>
      </c>
      <c r="D191">
        <v>22.3</v>
      </c>
      <c r="E191">
        <v>32.03</v>
      </c>
      <c r="F191">
        <v>22.3</v>
      </c>
      <c r="G191">
        <v>0</v>
      </c>
    </row>
    <row r="192" spans="1:7">
      <c r="A192" t="s">
        <v>36</v>
      </c>
      <c r="B192">
        <v>2013</v>
      </c>
      <c r="C192">
        <v>192</v>
      </c>
      <c r="D192">
        <v>16.8</v>
      </c>
      <c r="E192">
        <v>31.94</v>
      </c>
      <c r="F192">
        <v>22.75</v>
      </c>
      <c r="G192">
        <v>2.5</v>
      </c>
    </row>
    <row r="193" spans="1:7">
      <c r="A193" t="s">
        <v>36</v>
      </c>
      <c r="B193">
        <v>2013</v>
      </c>
      <c r="C193">
        <v>193</v>
      </c>
      <c r="D193">
        <v>16.899999999999999</v>
      </c>
      <c r="E193">
        <v>30.81</v>
      </c>
      <c r="F193">
        <v>22.2</v>
      </c>
      <c r="G193">
        <v>17.600000000000001</v>
      </c>
    </row>
    <row r="194" spans="1:7">
      <c r="A194" t="s">
        <v>36</v>
      </c>
      <c r="B194">
        <v>2013</v>
      </c>
      <c r="C194">
        <v>194</v>
      </c>
      <c r="D194">
        <v>13.1</v>
      </c>
      <c r="E194">
        <v>31.08</v>
      </c>
      <c r="F194">
        <v>19.739999999999998</v>
      </c>
      <c r="G194">
        <v>0</v>
      </c>
    </row>
    <row r="195" spans="1:7">
      <c r="A195" t="s">
        <v>36</v>
      </c>
      <c r="B195">
        <v>2013</v>
      </c>
      <c r="C195">
        <v>195</v>
      </c>
      <c r="D195">
        <v>21.5</v>
      </c>
      <c r="E195">
        <v>34.15</v>
      </c>
      <c r="F195">
        <v>21.89</v>
      </c>
      <c r="G195">
        <v>0</v>
      </c>
    </row>
    <row r="196" spans="1:7">
      <c r="A196" t="s">
        <v>36</v>
      </c>
      <c r="B196">
        <v>2013</v>
      </c>
      <c r="C196">
        <v>196</v>
      </c>
      <c r="D196">
        <v>22.1</v>
      </c>
      <c r="E196">
        <v>34.369999999999997</v>
      </c>
      <c r="F196">
        <v>22.3</v>
      </c>
      <c r="G196">
        <v>0</v>
      </c>
    </row>
    <row r="197" spans="1:7">
      <c r="A197" t="s">
        <v>36</v>
      </c>
      <c r="B197">
        <v>2013</v>
      </c>
      <c r="C197">
        <v>197</v>
      </c>
      <c r="D197">
        <v>15.7</v>
      </c>
      <c r="E197">
        <v>31.15</v>
      </c>
      <c r="F197">
        <v>20.61</v>
      </c>
      <c r="G197">
        <v>1</v>
      </c>
    </row>
    <row r="198" spans="1:7">
      <c r="A198" t="s">
        <v>36</v>
      </c>
      <c r="B198">
        <v>2013</v>
      </c>
      <c r="C198">
        <v>198</v>
      </c>
      <c r="D198">
        <v>23.1</v>
      </c>
      <c r="E198">
        <v>33.86</v>
      </c>
      <c r="F198">
        <v>21.3</v>
      </c>
      <c r="G198">
        <v>2.5</v>
      </c>
    </row>
    <row r="199" spans="1:7">
      <c r="A199" t="s">
        <v>36</v>
      </c>
      <c r="B199">
        <v>2013</v>
      </c>
      <c r="C199">
        <v>199</v>
      </c>
      <c r="D199">
        <v>20.6</v>
      </c>
      <c r="E199">
        <v>34.85</v>
      </c>
      <c r="F199">
        <v>22.81</v>
      </c>
      <c r="G199">
        <v>0</v>
      </c>
    </row>
    <row r="200" spans="1:7">
      <c r="A200" t="s">
        <v>36</v>
      </c>
      <c r="B200">
        <v>2013</v>
      </c>
      <c r="C200">
        <v>200</v>
      </c>
      <c r="D200">
        <v>17.2</v>
      </c>
      <c r="E200">
        <v>34.659999999999997</v>
      </c>
      <c r="F200">
        <v>20.83</v>
      </c>
      <c r="G200">
        <v>0</v>
      </c>
    </row>
    <row r="201" spans="1:7">
      <c r="A201" t="s">
        <v>36</v>
      </c>
      <c r="B201">
        <v>2013</v>
      </c>
      <c r="C201">
        <v>201</v>
      </c>
      <c r="D201">
        <v>24.3</v>
      </c>
      <c r="E201">
        <v>34.64</v>
      </c>
      <c r="F201">
        <v>22.23</v>
      </c>
      <c r="G201">
        <v>0</v>
      </c>
    </row>
    <row r="202" spans="1:7">
      <c r="A202" t="s">
        <v>36</v>
      </c>
      <c r="B202">
        <v>2013</v>
      </c>
      <c r="C202">
        <v>202</v>
      </c>
      <c r="D202">
        <v>5.4</v>
      </c>
      <c r="E202">
        <v>29.5</v>
      </c>
      <c r="F202">
        <v>20.399999999999999</v>
      </c>
      <c r="G202">
        <v>40.200000000000003</v>
      </c>
    </row>
    <row r="203" spans="1:7">
      <c r="A203" t="s">
        <v>36</v>
      </c>
      <c r="B203">
        <v>2013</v>
      </c>
      <c r="C203">
        <v>203</v>
      </c>
      <c r="D203">
        <v>21.4</v>
      </c>
      <c r="E203">
        <v>33.89</v>
      </c>
      <c r="F203">
        <v>20.71</v>
      </c>
      <c r="G203">
        <v>8.1</v>
      </c>
    </row>
    <row r="204" spans="1:7">
      <c r="A204" t="s">
        <v>36</v>
      </c>
      <c r="B204">
        <v>2013</v>
      </c>
      <c r="C204">
        <v>204</v>
      </c>
      <c r="D204">
        <v>17.3</v>
      </c>
      <c r="E204">
        <v>32.200000000000003</v>
      </c>
      <c r="F204">
        <v>21.19</v>
      </c>
      <c r="G204">
        <v>5.5</v>
      </c>
    </row>
    <row r="205" spans="1:7">
      <c r="A205" t="s">
        <v>36</v>
      </c>
      <c r="B205">
        <v>2013</v>
      </c>
      <c r="C205">
        <v>205</v>
      </c>
      <c r="D205">
        <v>22.7</v>
      </c>
      <c r="E205">
        <v>33.11</v>
      </c>
      <c r="F205">
        <v>21.22</v>
      </c>
      <c r="G205">
        <v>6.1</v>
      </c>
    </row>
    <row r="206" spans="1:7">
      <c r="A206" t="s">
        <v>36</v>
      </c>
      <c r="B206">
        <v>2013</v>
      </c>
      <c r="C206">
        <v>206</v>
      </c>
      <c r="D206">
        <v>18</v>
      </c>
      <c r="E206">
        <v>34.24</v>
      </c>
      <c r="F206">
        <v>22.57</v>
      </c>
      <c r="G206">
        <v>0</v>
      </c>
    </row>
    <row r="207" spans="1:7">
      <c r="A207" t="s">
        <v>36</v>
      </c>
      <c r="B207">
        <v>2013</v>
      </c>
      <c r="C207">
        <v>207</v>
      </c>
      <c r="D207">
        <v>18.399999999999999</v>
      </c>
      <c r="E207">
        <v>31.18</v>
      </c>
      <c r="F207">
        <v>21.22</v>
      </c>
      <c r="G207">
        <v>7.9</v>
      </c>
    </row>
    <row r="208" spans="1:7">
      <c r="A208" t="s">
        <v>36</v>
      </c>
      <c r="B208">
        <v>2013</v>
      </c>
      <c r="C208">
        <v>208</v>
      </c>
      <c r="D208">
        <v>20.5</v>
      </c>
      <c r="E208">
        <v>34.54</v>
      </c>
      <c r="F208">
        <v>21.86</v>
      </c>
      <c r="G208">
        <v>0</v>
      </c>
    </row>
    <row r="209" spans="1:7">
      <c r="A209" t="s">
        <v>36</v>
      </c>
      <c r="B209">
        <v>2013</v>
      </c>
      <c r="C209">
        <v>209</v>
      </c>
      <c r="D209">
        <v>21.9</v>
      </c>
      <c r="E209">
        <v>35.32</v>
      </c>
      <c r="F209">
        <v>21.25</v>
      </c>
      <c r="G209">
        <v>0</v>
      </c>
    </row>
    <row r="210" spans="1:7">
      <c r="A210" t="s">
        <v>36</v>
      </c>
      <c r="B210">
        <v>2013</v>
      </c>
      <c r="C210">
        <v>210</v>
      </c>
      <c r="D210">
        <v>21.6</v>
      </c>
      <c r="E210">
        <v>34.04</v>
      </c>
      <c r="F210">
        <v>21.62</v>
      </c>
      <c r="G210">
        <v>0</v>
      </c>
    </row>
    <row r="211" spans="1:7">
      <c r="A211" t="s">
        <v>36</v>
      </c>
      <c r="B211">
        <v>2013</v>
      </c>
      <c r="C211">
        <v>211</v>
      </c>
      <c r="D211">
        <v>11.7</v>
      </c>
      <c r="E211">
        <v>30.02</v>
      </c>
      <c r="F211">
        <v>21.89</v>
      </c>
      <c r="G211">
        <v>0</v>
      </c>
    </row>
    <row r="212" spans="1:7">
      <c r="A212" t="s">
        <v>36</v>
      </c>
      <c r="B212">
        <v>2013</v>
      </c>
      <c r="C212">
        <v>212</v>
      </c>
      <c r="D212">
        <v>20.2</v>
      </c>
      <c r="E212">
        <v>32.75</v>
      </c>
      <c r="F212">
        <v>20.99</v>
      </c>
      <c r="G212">
        <v>0</v>
      </c>
    </row>
    <row r="213" spans="1:7">
      <c r="A213" t="s">
        <v>36</v>
      </c>
      <c r="B213">
        <v>2013</v>
      </c>
      <c r="C213">
        <v>213</v>
      </c>
      <c r="D213">
        <v>18.7</v>
      </c>
      <c r="E213">
        <v>33.979999999999997</v>
      </c>
      <c r="F213">
        <v>21.79</v>
      </c>
      <c r="G213">
        <v>0.5</v>
      </c>
    </row>
    <row r="214" spans="1:7">
      <c r="A214" t="s">
        <v>36</v>
      </c>
      <c r="B214">
        <v>2013</v>
      </c>
      <c r="C214">
        <v>214</v>
      </c>
      <c r="D214">
        <v>6.8</v>
      </c>
      <c r="E214">
        <v>29.63</v>
      </c>
      <c r="F214">
        <v>21.65</v>
      </c>
      <c r="G214">
        <v>93.5</v>
      </c>
    </row>
    <row r="215" spans="1:7">
      <c r="A215" t="s">
        <v>36</v>
      </c>
      <c r="B215">
        <v>2013</v>
      </c>
      <c r="C215">
        <v>215</v>
      </c>
      <c r="D215">
        <v>16.399999999999999</v>
      </c>
      <c r="E215">
        <v>32.72</v>
      </c>
      <c r="F215">
        <v>21.75</v>
      </c>
      <c r="G215">
        <v>0</v>
      </c>
    </row>
    <row r="216" spans="1:7">
      <c r="A216" t="s">
        <v>36</v>
      </c>
      <c r="B216">
        <v>2013</v>
      </c>
      <c r="C216">
        <v>216</v>
      </c>
      <c r="D216">
        <v>14.1</v>
      </c>
      <c r="E216">
        <v>31.6</v>
      </c>
      <c r="F216">
        <v>21.75</v>
      </c>
      <c r="G216">
        <v>7.4</v>
      </c>
    </row>
    <row r="217" spans="1:7">
      <c r="A217" t="s">
        <v>36</v>
      </c>
      <c r="B217">
        <v>2013</v>
      </c>
      <c r="C217">
        <v>217</v>
      </c>
      <c r="D217">
        <v>21.4</v>
      </c>
      <c r="E217">
        <v>34.04</v>
      </c>
      <c r="F217">
        <v>22.44</v>
      </c>
      <c r="G217">
        <v>0</v>
      </c>
    </row>
    <row r="218" spans="1:7">
      <c r="A218" t="s">
        <v>36</v>
      </c>
      <c r="B218">
        <v>2013</v>
      </c>
      <c r="C218">
        <v>218</v>
      </c>
      <c r="D218">
        <v>22.1</v>
      </c>
      <c r="E218">
        <v>33.4</v>
      </c>
      <c r="F218">
        <v>22.57</v>
      </c>
      <c r="G218">
        <v>14.5</v>
      </c>
    </row>
    <row r="219" spans="1:7">
      <c r="A219" t="s">
        <v>36</v>
      </c>
      <c r="B219">
        <v>2013</v>
      </c>
      <c r="C219">
        <v>219</v>
      </c>
      <c r="D219">
        <v>18.7</v>
      </c>
      <c r="E219">
        <v>32.21</v>
      </c>
      <c r="F219">
        <v>23.53</v>
      </c>
      <c r="G219">
        <v>3.8</v>
      </c>
    </row>
    <row r="220" spans="1:7">
      <c r="A220" t="s">
        <v>36</v>
      </c>
      <c r="B220">
        <v>2013</v>
      </c>
      <c r="C220">
        <v>220</v>
      </c>
      <c r="D220">
        <v>20.5</v>
      </c>
      <c r="E220">
        <v>33.049999999999997</v>
      </c>
      <c r="F220">
        <v>20.48</v>
      </c>
      <c r="G220">
        <v>8.4</v>
      </c>
    </row>
    <row r="221" spans="1:7">
      <c r="A221" t="s">
        <v>36</v>
      </c>
      <c r="B221">
        <v>2013</v>
      </c>
      <c r="C221">
        <v>221</v>
      </c>
      <c r="D221">
        <v>15.2</v>
      </c>
      <c r="E221">
        <v>33.18</v>
      </c>
      <c r="F221">
        <v>20.34</v>
      </c>
      <c r="G221">
        <v>66.3</v>
      </c>
    </row>
    <row r="222" spans="1:7">
      <c r="A222" t="s">
        <v>36</v>
      </c>
      <c r="B222">
        <v>2013</v>
      </c>
      <c r="C222">
        <v>222</v>
      </c>
      <c r="D222">
        <v>16.600000000000001</v>
      </c>
      <c r="E222">
        <v>30.78</v>
      </c>
      <c r="F222">
        <v>20.61</v>
      </c>
      <c r="G222">
        <v>0</v>
      </c>
    </row>
    <row r="223" spans="1:7">
      <c r="A223" t="s">
        <v>36</v>
      </c>
      <c r="B223">
        <v>2013</v>
      </c>
      <c r="C223">
        <v>223</v>
      </c>
      <c r="D223">
        <v>18.399999999999999</v>
      </c>
      <c r="E223">
        <v>31.46</v>
      </c>
      <c r="F223">
        <v>22.4</v>
      </c>
      <c r="G223">
        <v>6.6</v>
      </c>
    </row>
    <row r="224" spans="1:7">
      <c r="A224" t="s">
        <v>36</v>
      </c>
      <c r="B224">
        <v>2013</v>
      </c>
      <c r="C224">
        <v>224</v>
      </c>
      <c r="D224">
        <v>13.5</v>
      </c>
      <c r="E224">
        <v>30.64</v>
      </c>
      <c r="F224">
        <v>23.02</v>
      </c>
      <c r="G224">
        <v>0.5</v>
      </c>
    </row>
    <row r="225" spans="1:7">
      <c r="A225" t="s">
        <v>36</v>
      </c>
      <c r="B225">
        <v>2013</v>
      </c>
      <c r="C225">
        <v>225</v>
      </c>
      <c r="D225">
        <v>18.100000000000001</v>
      </c>
      <c r="E225">
        <v>32.270000000000003</v>
      </c>
      <c r="F225">
        <v>20.64</v>
      </c>
      <c r="G225">
        <v>3.8</v>
      </c>
    </row>
    <row r="226" spans="1:7">
      <c r="A226" t="s">
        <v>36</v>
      </c>
      <c r="B226">
        <v>2013</v>
      </c>
      <c r="C226">
        <v>226</v>
      </c>
      <c r="D226">
        <v>13.4</v>
      </c>
      <c r="E226">
        <v>31.26</v>
      </c>
      <c r="F226">
        <v>20.58</v>
      </c>
      <c r="G226">
        <v>8.9</v>
      </c>
    </row>
    <row r="227" spans="1:7">
      <c r="A227" t="s">
        <v>36</v>
      </c>
      <c r="B227">
        <v>2013</v>
      </c>
      <c r="C227">
        <v>227</v>
      </c>
      <c r="D227">
        <v>22.9</v>
      </c>
      <c r="E227">
        <v>33.29</v>
      </c>
      <c r="F227">
        <v>21.96</v>
      </c>
      <c r="G227">
        <v>0</v>
      </c>
    </row>
    <row r="228" spans="1:7">
      <c r="A228" t="s">
        <v>36</v>
      </c>
      <c r="B228">
        <v>2013</v>
      </c>
      <c r="C228">
        <v>228</v>
      </c>
      <c r="D228">
        <v>19.5</v>
      </c>
      <c r="E228">
        <v>32.75</v>
      </c>
      <c r="F228">
        <v>23.26</v>
      </c>
      <c r="G228">
        <v>3.6</v>
      </c>
    </row>
    <row r="229" spans="1:7">
      <c r="A229" t="s">
        <v>36</v>
      </c>
      <c r="B229">
        <v>2013</v>
      </c>
      <c r="C229">
        <v>229</v>
      </c>
      <c r="D229">
        <v>19</v>
      </c>
      <c r="E229">
        <v>33.49</v>
      </c>
      <c r="F229">
        <v>21.34</v>
      </c>
      <c r="G229">
        <v>8.1</v>
      </c>
    </row>
    <row r="230" spans="1:7">
      <c r="A230" t="s">
        <v>36</v>
      </c>
      <c r="B230">
        <v>2013</v>
      </c>
      <c r="C230">
        <v>230</v>
      </c>
      <c r="D230">
        <v>15.1</v>
      </c>
      <c r="E230">
        <v>31.83</v>
      </c>
      <c r="F230">
        <v>22.64</v>
      </c>
      <c r="G230">
        <v>54.1</v>
      </c>
    </row>
    <row r="231" spans="1:7">
      <c r="A231" t="s">
        <v>36</v>
      </c>
      <c r="B231">
        <v>2013</v>
      </c>
      <c r="C231">
        <v>231</v>
      </c>
      <c r="D231">
        <v>17</v>
      </c>
      <c r="E231">
        <v>31.7</v>
      </c>
      <c r="F231">
        <v>21.82</v>
      </c>
      <c r="G231">
        <v>0.5</v>
      </c>
    </row>
    <row r="232" spans="1:7">
      <c r="A232" t="s">
        <v>36</v>
      </c>
      <c r="B232">
        <v>2013</v>
      </c>
      <c r="C232">
        <v>232</v>
      </c>
      <c r="D232">
        <v>12.7</v>
      </c>
      <c r="E232">
        <v>31.52</v>
      </c>
      <c r="F232">
        <v>22.95</v>
      </c>
      <c r="G232">
        <v>0</v>
      </c>
    </row>
    <row r="233" spans="1:7">
      <c r="A233" t="s">
        <v>36</v>
      </c>
      <c r="B233">
        <v>2013</v>
      </c>
      <c r="C233">
        <v>233</v>
      </c>
      <c r="D233">
        <v>17.100000000000001</v>
      </c>
      <c r="E233">
        <v>33.19</v>
      </c>
      <c r="F233">
        <v>20.54</v>
      </c>
      <c r="G233">
        <v>54.6</v>
      </c>
    </row>
    <row r="234" spans="1:7">
      <c r="A234" t="s">
        <v>36</v>
      </c>
      <c r="B234">
        <v>2013</v>
      </c>
      <c r="C234">
        <v>234</v>
      </c>
      <c r="D234">
        <v>13.1</v>
      </c>
      <c r="E234">
        <v>31.02</v>
      </c>
      <c r="F234">
        <v>20.27</v>
      </c>
      <c r="G234">
        <v>44.7</v>
      </c>
    </row>
    <row r="235" spans="1:7">
      <c r="A235" t="s">
        <v>36</v>
      </c>
      <c r="B235">
        <v>2013</v>
      </c>
      <c r="C235">
        <v>235</v>
      </c>
      <c r="D235">
        <v>19</v>
      </c>
      <c r="E235">
        <v>30.57</v>
      </c>
      <c r="F235">
        <v>20.68</v>
      </c>
      <c r="G235">
        <v>0</v>
      </c>
    </row>
    <row r="236" spans="1:7">
      <c r="A236" t="s">
        <v>36</v>
      </c>
      <c r="B236">
        <v>2013</v>
      </c>
      <c r="C236">
        <v>236</v>
      </c>
      <c r="D236">
        <v>18.8</v>
      </c>
      <c r="E236">
        <v>32.4</v>
      </c>
      <c r="F236">
        <v>21.02</v>
      </c>
      <c r="G236">
        <v>8.4</v>
      </c>
    </row>
    <row r="237" spans="1:7">
      <c r="A237" t="s">
        <v>36</v>
      </c>
      <c r="B237">
        <v>2013</v>
      </c>
      <c r="C237">
        <v>237</v>
      </c>
      <c r="D237">
        <v>18</v>
      </c>
      <c r="E237">
        <v>32.33</v>
      </c>
      <c r="F237">
        <v>21.58</v>
      </c>
      <c r="G237">
        <v>1.3</v>
      </c>
    </row>
    <row r="238" spans="1:7">
      <c r="A238" t="s">
        <v>36</v>
      </c>
      <c r="B238">
        <v>2013</v>
      </c>
      <c r="C238">
        <v>238</v>
      </c>
      <c r="D238">
        <v>22.5</v>
      </c>
      <c r="E238">
        <v>33.69</v>
      </c>
      <c r="F238">
        <v>21.22</v>
      </c>
      <c r="G238">
        <v>7.4</v>
      </c>
    </row>
    <row r="239" spans="1:7">
      <c r="A239" t="s">
        <v>36</v>
      </c>
      <c r="B239">
        <v>2013</v>
      </c>
      <c r="C239">
        <v>239</v>
      </c>
      <c r="D239">
        <v>11.1</v>
      </c>
      <c r="E239">
        <v>30.85</v>
      </c>
      <c r="F239">
        <v>20.97</v>
      </c>
      <c r="G239">
        <v>2.2999999999999998</v>
      </c>
    </row>
    <row r="240" spans="1:7">
      <c r="A240" t="s">
        <v>36</v>
      </c>
      <c r="B240">
        <v>2013</v>
      </c>
      <c r="C240">
        <v>240</v>
      </c>
      <c r="D240">
        <v>18.7</v>
      </c>
      <c r="E240">
        <v>34.479999999999997</v>
      </c>
      <c r="F240">
        <v>22.64</v>
      </c>
      <c r="G240">
        <v>0.5</v>
      </c>
    </row>
    <row r="241" spans="1:7">
      <c r="A241" t="s">
        <v>36</v>
      </c>
      <c r="B241">
        <v>2013</v>
      </c>
      <c r="C241">
        <v>241</v>
      </c>
      <c r="D241">
        <v>3.2</v>
      </c>
      <c r="E241">
        <v>26.25</v>
      </c>
      <c r="F241">
        <v>21.27</v>
      </c>
      <c r="G241">
        <v>14.7</v>
      </c>
    </row>
    <row r="242" spans="1:7">
      <c r="A242" t="s">
        <v>36</v>
      </c>
      <c r="B242">
        <v>2013</v>
      </c>
      <c r="C242">
        <v>242</v>
      </c>
      <c r="D242">
        <v>16.2</v>
      </c>
      <c r="E242">
        <v>30.91</v>
      </c>
      <c r="F242">
        <v>22.03</v>
      </c>
      <c r="G242">
        <v>1.3</v>
      </c>
    </row>
    <row r="243" spans="1:7">
      <c r="A243" t="s">
        <v>36</v>
      </c>
      <c r="B243">
        <v>2013</v>
      </c>
      <c r="C243">
        <v>243</v>
      </c>
      <c r="D243">
        <v>19</v>
      </c>
      <c r="E243">
        <v>32.53</v>
      </c>
      <c r="F243">
        <v>22.68</v>
      </c>
      <c r="G243">
        <v>12.7</v>
      </c>
    </row>
    <row r="244" spans="1:7">
      <c r="A244" t="s">
        <v>36</v>
      </c>
      <c r="B244">
        <v>2013</v>
      </c>
      <c r="C244">
        <v>244</v>
      </c>
      <c r="D244">
        <v>16.899999999999999</v>
      </c>
      <c r="E244">
        <v>31.99</v>
      </c>
      <c r="F244">
        <v>20.37</v>
      </c>
      <c r="G244">
        <v>23.4</v>
      </c>
    </row>
    <row r="245" spans="1:7">
      <c r="A245" t="s">
        <v>36</v>
      </c>
      <c r="B245">
        <v>2013</v>
      </c>
      <c r="C245">
        <v>245</v>
      </c>
      <c r="D245">
        <v>21.5</v>
      </c>
      <c r="E245">
        <v>33.29</v>
      </c>
      <c r="F245">
        <v>19.86</v>
      </c>
      <c r="G245">
        <v>0.5</v>
      </c>
    </row>
    <row r="246" spans="1:7">
      <c r="A246" t="s">
        <v>36</v>
      </c>
      <c r="B246">
        <v>2013</v>
      </c>
      <c r="C246">
        <v>246</v>
      </c>
      <c r="D246">
        <v>19.100000000000001</v>
      </c>
      <c r="E246">
        <v>32.14</v>
      </c>
      <c r="F246">
        <v>20.04</v>
      </c>
      <c r="G246">
        <v>4.3</v>
      </c>
    </row>
    <row r="247" spans="1:7">
      <c r="A247" t="s">
        <v>36</v>
      </c>
      <c r="B247">
        <v>2013</v>
      </c>
      <c r="C247">
        <v>247</v>
      </c>
      <c r="D247">
        <v>23.1</v>
      </c>
      <c r="E247">
        <v>32.99</v>
      </c>
      <c r="F247">
        <v>22.3</v>
      </c>
      <c r="G247">
        <v>0</v>
      </c>
    </row>
    <row r="248" spans="1:7">
      <c r="A248" t="s">
        <v>36</v>
      </c>
      <c r="B248">
        <v>2013</v>
      </c>
      <c r="C248">
        <v>248</v>
      </c>
      <c r="D248">
        <v>4</v>
      </c>
      <c r="E248">
        <v>27.34</v>
      </c>
      <c r="F248">
        <v>21.45</v>
      </c>
      <c r="G248">
        <v>49.3</v>
      </c>
    </row>
    <row r="249" spans="1:7">
      <c r="A249" t="s">
        <v>36</v>
      </c>
      <c r="B249">
        <v>2013</v>
      </c>
      <c r="C249">
        <v>249</v>
      </c>
      <c r="D249">
        <v>19.5</v>
      </c>
      <c r="E249">
        <v>32.81</v>
      </c>
      <c r="F249">
        <v>20.85</v>
      </c>
      <c r="G249">
        <v>0.8</v>
      </c>
    </row>
    <row r="250" spans="1:7">
      <c r="A250" t="s">
        <v>36</v>
      </c>
      <c r="B250">
        <v>2013</v>
      </c>
      <c r="C250">
        <v>250</v>
      </c>
      <c r="D250">
        <v>22.5</v>
      </c>
      <c r="E250">
        <v>32.31</v>
      </c>
      <c r="F250">
        <v>21.6</v>
      </c>
      <c r="G250">
        <v>13.7</v>
      </c>
    </row>
    <row r="251" spans="1:7">
      <c r="A251" t="s">
        <v>36</v>
      </c>
      <c r="B251">
        <v>2013</v>
      </c>
      <c r="C251">
        <v>251</v>
      </c>
      <c r="D251">
        <v>21.4</v>
      </c>
      <c r="E251">
        <v>32.03</v>
      </c>
      <c r="F251">
        <v>21.34</v>
      </c>
      <c r="G251">
        <v>0.8</v>
      </c>
    </row>
    <row r="252" spans="1:7">
      <c r="A252" t="s">
        <v>36</v>
      </c>
      <c r="B252">
        <v>2013</v>
      </c>
      <c r="C252">
        <v>252</v>
      </c>
      <c r="D252">
        <v>20.100000000000001</v>
      </c>
      <c r="E252">
        <v>31.8</v>
      </c>
      <c r="F252">
        <v>22.78</v>
      </c>
      <c r="G252">
        <v>0</v>
      </c>
    </row>
    <row r="253" spans="1:7">
      <c r="A253" t="s">
        <v>36</v>
      </c>
      <c r="B253">
        <v>2013</v>
      </c>
      <c r="C253">
        <v>253</v>
      </c>
      <c r="D253">
        <v>22.3</v>
      </c>
      <c r="E253">
        <v>35.19</v>
      </c>
      <c r="F253">
        <v>20.2</v>
      </c>
      <c r="G253">
        <v>42.7</v>
      </c>
    </row>
    <row r="254" spans="1:7">
      <c r="A254" t="s">
        <v>36</v>
      </c>
      <c r="B254">
        <v>2013</v>
      </c>
      <c r="C254">
        <v>254</v>
      </c>
      <c r="D254">
        <v>20.6</v>
      </c>
      <c r="E254">
        <v>31.93</v>
      </c>
      <c r="F254">
        <v>19.93</v>
      </c>
      <c r="G254">
        <v>0</v>
      </c>
    </row>
    <row r="255" spans="1:7">
      <c r="A255" t="s">
        <v>36</v>
      </c>
      <c r="B255">
        <v>2013</v>
      </c>
      <c r="C255">
        <v>255</v>
      </c>
      <c r="D255">
        <v>20.8</v>
      </c>
      <c r="E255">
        <v>34.340000000000003</v>
      </c>
      <c r="F255">
        <v>21.62</v>
      </c>
      <c r="G255">
        <v>0</v>
      </c>
    </row>
    <row r="256" spans="1:7">
      <c r="A256" t="s">
        <v>36</v>
      </c>
      <c r="B256">
        <v>2013</v>
      </c>
      <c r="C256">
        <v>256</v>
      </c>
      <c r="D256">
        <v>12</v>
      </c>
      <c r="E256">
        <v>28.55</v>
      </c>
      <c r="F256">
        <v>21.07</v>
      </c>
      <c r="G256">
        <v>24.1</v>
      </c>
    </row>
    <row r="257" spans="1:7">
      <c r="A257" t="s">
        <v>36</v>
      </c>
      <c r="B257">
        <v>2013</v>
      </c>
      <c r="C257">
        <v>257</v>
      </c>
      <c r="D257">
        <v>8.1</v>
      </c>
      <c r="E257">
        <v>29</v>
      </c>
      <c r="F257">
        <v>21.55</v>
      </c>
      <c r="G257">
        <v>6.4</v>
      </c>
    </row>
    <row r="258" spans="1:7">
      <c r="A258" t="s">
        <v>36</v>
      </c>
      <c r="B258">
        <v>2013</v>
      </c>
      <c r="C258">
        <v>258</v>
      </c>
      <c r="D258">
        <v>21.7</v>
      </c>
      <c r="E258">
        <v>32.68</v>
      </c>
      <c r="F258">
        <v>22.99</v>
      </c>
      <c r="G258">
        <v>0</v>
      </c>
    </row>
    <row r="259" spans="1:7">
      <c r="A259" t="s">
        <v>36</v>
      </c>
      <c r="B259">
        <v>2013</v>
      </c>
      <c r="C259">
        <v>259</v>
      </c>
      <c r="D259">
        <v>21.5</v>
      </c>
      <c r="E259">
        <v>33.22</v>
      </c>
      <c r="F259">
        <v>22.44</v>
      </c>
      <c r="G259">
        <v>0</v>
      </c>
    </row>
    <row r="260" spans="1:7">
      <c r="A260" t="s">
        <v>36</v>
      </c>
      <c r="B260">
        <v>2013</v>
      </c>
      <c r="C260">
        <v>260</v>
      </c>
      <c r="D260">
        <v>19.399999999999999</v>
      </c>
      <c r="E260">
        <v>33.020000000000003</v>
      </c>
      <c r="F260">
        <v>23.12</v>
      </c>
      <c r="G260">
        <v>0</v>
      </c>
    </row>
    <row r="261" spans="1:7">
      <c r="A261" t="s">
        <v>36</v>
      </c>
      <c r="B261">
        <v>2013</v>
      </c>
      <c r="C261">
        <v>261</v>
      </c>
      <c r="D261">
        <v>22.8</v>
      </c>
      <c r="E261">
        <v>34.85</v>
      </c>
      <c r="F261">
        <v>22.44</v>
      </c>
      <c r="G261">
        <v>0</v>
      </c>
    </row>
    <row r="262" spans="1:7">
      <c r="A262" t="s">
        <v>36</v>
      </c>
      <c r="B262">
        <v>2013</v>
      </c>
      <c r="C262">
        <v>262</v>
      </c>
      <c r="D262">
        <v>21</v>
      </c>
      <c r="E262">
        <v>34.36</v>
      </c>
      <c r="F262">
        <v>22.51</v>
      </c>
      <c r="G262">
        <v>0</v>
      </c>
    </row>
    <row r="263" spans="1:7">
      <c r="A263" t="s">
        <v>36</v>
      </c>
      <c r="B263">
        <v>2013</v>
      </c>
      <c r="C263">
        <v>263</v>
      </c>
      <c r="D263">
        <v>18.399999999999999</v>
      </c>
      <c r="E263">
        <v>36.19</v>
      </c>
      <c r="F263">
        <v>22.88</v>
      </c>
      <c r="G263">
        <v>0</v>
      </c>
    </row>
    <row r="264" spans="1:7">
      <c r="A264" t="s">
        <v>36</v>
      </c>
      <c r="B264">
        <v>2013</v>
      </c>
      <c r="C264">
        <v>264</v>
      </c>
      <c r="D264">
        <v>19.7</v>
      </c>
      <c r="E264">
        <v>34.75</v>
      </c>
      <c r="F264">
        <v>22.4</v>
      </c>
      <c r="G264">
        <v>0</v>
      </c>
    </row>
    <row r="265" spans="1:7">
      <c r="A265" t="s">
        <v>36</v>
      </c>
      <c r="B265">
        <v>2013</v>
      </c>
      <c r="C265">
        <v>265</v>
      </c>
      <c r="D265">
        <v>11.2</v>
      </c>
      <c r="E265">
        <v>31.52</v>
      </c>
      <c r="F265">
        <v>19.64</v>
      </c>
      <c r="G265">
        <v>12.5</v>
      </c>
    </row>
    <row r="266" spans="1:7">
      <c r="A266" t="s">
        <v>36</v>
      </c>
      <c r="B266">
        <v>2013</v>
      </c>
      <c r="C266">
        <v>266</v>
      </c>
      <c r="D266">
        <v>22.5</v>
      </c>
      <c r="E266">
        <v>33.770000000000003</v>
      </c>
      <c r="F266">
        <v>20.27</v>
      </c>
      <c r="G266">
        <v>0</v>
      </c>
    </row>
    <row r="267" spans="1:7">
      <c r="A267" t="s">
        <v>36</v>
      </c>
      <c r="B267">
        <v>2013</v>
      </c>
      <c r="C267">
        <v>267</v>
      </c>
      <c r="D267">
        <v>21.2</v>
      </c>
      <c r="E267">
        <v>35.450000000000003</v>
      </c>
      <c r="F267">
        <v>22.03</v>
      </c>
      <c r="G267">
        <v>0</v>
      </c>
    </row>
    <row r="268" spans="1:7">
      <c r="A268" t="s">
        <v>36</v>
      </c>
      <c r="B268">
        <v>2013</v>
      </c>
      <c r="C268">
        <v>268</v>
      </c>
      <c r="D268">
        <v>20.8</v>
      </c>
      <c r="E268">
        <v>36.06</v>
      </c>
      <c r="F268">
        <v>21.39</v>
      </c>
      <c r="G268">
        <v>20.8</v>
      </c>
    </row>
    <row r="269" spans="1:7">
      <c r="A269" t="s">
        <v>36</v>
      </c>
      <c r="B269">
        <v>2013</v>
      </c>
      <c r="C269">
        <v>269</v>
      </c>
      <c r="D269">
        <v>20.399999999999999</v>
      </c>
      <c r="E269">
        <v>32.68</v>
      </c>
      <c r="F269">
        <v>20.77</v>
      </c>
      <c r="G269">
        <v>3.6</v>
      </c>
    </row>
    <row r="270" spans="1:7">
      <c r="A270" t="s">
        <v>36</v>
      </c>
      <c r="B270">
        <v>2013</v>
      </c>
      <c r="C270">
        <v>270</v>
      </c>
      <c r="D270">
        <v>15.8</v>
      </c>
      <c r="E270">
        <v>32.409999999999997</v>
      </c>
      <c r="F270">
        <v>23.32</v>
      </c>
      <c r="G270">
        <v>0</v>
      </c>
    </row>
    <row r="271" spans="1:7">
      <c r="A271" t="s">
        <v>36</v>
      </c>
      <c r="B271">
        <v>2013</v>
      </c>
      <c r="C271">
        <v>271</v>
      </c>
      <c r="D271">
        <v>21.4</v>
      </c>
      <c r="E271">
        <v>35.020000000000003</v>
      </c>
      <c r="F271">
        <v>21.57</v>
      </c>
      <c r="G271">
        <v>22.1</v>
      </c>
    </row>
    <row r="272" spans="1:7">
      <c r="A272" t="s">
        <v>36</v>
      </c>
      <c r="B272">
        <v>2013</v>
      </c>
      <c r="C272">
        <v>272</v>
      </c>
      <c r="D272">
        <v>21.5</v>
      </c>
      <c r="E272">
        <v>33.590000000000003</v>
      </c>
      <c r="F272">
        <v>21.02</v>
      </c>
      <c r="G272">
        <v>0</v>
      </c>
    </row>
    <row r="273" spans="1:7">
      <c r="A273" t="s">
        <v>36</v>
      </c>
      <c r="B273">
        <v>2013</v>
      </c>
      <c r="C273">
        <v>273</v>
      </c>
      <c r="D273">
        <v>21.1</v>
      </c>
      <c r="E273">
        <v>33.840000000000003</v>
      </c>
      <c r="F273">
        <v>22.16</v>
      </c>
      <c r="G273">
        <v>0</v>
      </c>
    </row>
    <row r="274" spans="1:7">
      <c r="A274" t="s">
        <v>36</v>
      </c>
      <c r="B274">
        <v>2013</v>
      </c>
      <c r="C274">
        <v>274</v>
      </c>
      <c r="D274">
        <v>21.7</v>
      </c>
      <c r="E274">
        <v>36</v>
      </c>
      <c r="F274">
        <v>20</v>
      </c>
      <c r="G274">
        <v>0</v>
      </c>
    </row>
    <row r="275" spans="1:7">
      <c r="A275" t="s">
        <v>36</v>
      </c>
      <c r="B275">
        <v>2013</v>
      </c>
      <c r="C275">
        <v>275</v>
      </c>
      <c r="D275">
        <v>12.3</v>
      </c>
      <c r="E275">
        <v>35.5</v>
      </c>
      <c r="F275">
        <v>22.5</v>
      </c>
      <c r="G275">
        <v>35.799999999999997</v>
      </c>
    </row>
    <row r="276" spans="1:7">
      <c r="A276" t="s">
        <v>36</v>
      </c>
      <c r="B276">
        <v>2013</v>
      </c>
      <c r="C276">
        <v>276</v>
      </c>
      <c r="D276">
        <v>20.8</v>
      </c>
      <c r="E276">
        <v>33.5</v>
      </c>
      <c r="F276">
        <v>23</v>
      </c>
      <c r="G276">
        <v>0</v>
      </c>
    </row>
    <row r="277" spans="1:7">
      <c r="A277" t="s">
        <v>36</v>
      </c>
      <c r="B277">
        <v>2013</v>
      </c>
      <c r="C277">
        <v>277</v>
      </c>
      <c r="D277">
        <v>9.8000000000000007</v>
      </c>
      <c r="E277">
        <v>33.5</v>
      </c>
      <c r="F277">
        <v>21.5</v>
      </c>
      <c r="G277">
        <v>0</v>
      </c>
    </row>
    <row r="278" spans="1:7">
      <c r="A278" t="s">
        <v>36</v>
      </c>
      <c r="B278">
        <v>2013</v>
      </c>
      <c r="C278">
        <v>278</v>
      </c>
      <c r="D278">
        <v>20.6</v>
      </c>
      <c r="E278">
        <v>36.5</v>
      </c>
      <c r="F278">
        <v>21.5</v>
      </c>
      <c r="G278">
        <v>0</v>
      </c>
    </row>
    <row r="279" spans="1:7">
      <c r="A279" t="s">
        <v>36</v>
      </c>
      <c r="B279">
        <v>2013</v>
      </c>
      <c r="C279">
        <v>279</v>
      </c>
      <c r="D279">
        <v>21</v>
      </c>
      <c r="E279">
        <v>38</v>
      </c>
      <c r="F279">
        <v>22</v>
      </c>
      <c r="G279">
        <v>0</v>
      </c>
    </row>
    <row r="280" spans="1:7">
      <c r="A280" t="s">
        <v>36</v>
      </c>
      <c r="B280">
        <v>2013</v>
      </c>
      <c r="C280">
        <v>280</v>
      </c>
      <c r="D280">
        <v>22.2</v>
      </c>
      <c r="E280">
        <v>38</v>
      </c>
      <c r="F280">
        <v>22</v>
      </c>
      <c r="G280">
        <v>0</v>
      </c>
    </row>
    <row r="281" spans="1:7">
      <c r="A281" t="s">
        <v>36</v>
      </c>
      <c r="B281">
        <v>2013</v>
      </c>
      <c r="C281">
        <v>281</v>
      </c>
      <c r="D281">
        <v>21.5</v>
      </c>
      <c r="E281">
        <v>38.5</v>
      </c>
      <c r="F281">
        <v>22</v>
      </c>
      <c r="G281">
        <v>0</v>
      </c>
    </row>
    <row r="282" spans="1:7">
      <c r="A282" t="s">
        <v>36</v>
      </c>
      <c r="B282">
        <v>2013</v>
      </c>
      <c r="C282">
        <v>282</v>
      </c>
      <c r="D282">
        <v>18.7</v>
      </c>
      <c r="E282">
        <v>37.5</v>
      </c>
      <c r="F282">
        <v>21</v>
      </c>
      <c r="G282">
        <v>46</v>
      </c>
    </row>
    <row r="283" spans="1:7">
      <c r="A283" t="s">
        <v>36</v>
      </c>
      <c r="B283">
        <v>2013</v>
      </c>
      <c r="C283">
        <v>283</v>
      </c>
      <c r="D283">
        <v>19.8</v>
      </c>
      <c r="E283">
        <v>36</v>
      </c>
      <c r="F283">
        <v>21.5</v>
      </c>
      <c r="G283">
        <v>6.4</v>
      </c>
    </row>
    <row r="284" spans="1:7">
      <c r="A284" t="s">
        <v>36</v>
      </c>
      <c r="B284">
        <v>2013</v>
      </c>
      <c r="C284">
        <v>284</v>
      </c>
      <c r="D284">
        <v>19</v>
      </c>
      <c r="E284">
        <v>35</v>
      </c>
      <c r="F284">
        <v>22.5</v>
      </c>
      <c r="G284">
        <v>5.0999999999999996</v>
      </c>
    </row>
    <row r="285" spans="1:7">
      <c r="A285" t="s">
        <v>36</v>
      </c>
      <c r="B285">
        <v>2013</v>
      </c>
      <c r="C285">
        <v>285</v>
      </c>
      <c r="D285">
        <v>17.899999999999999</v>
      </c>
      <c r="E285">
        <v>36</v>
      </c>
      <c r="F285">
        <v>22</v>
      </c>
      <c r="G285">
        <v>0.3</v>
      </c>
    </row>
    <row r="286" spans="1:7">
      <c r="A286" t="s">
        <v>36</v>
      </c>
      <c r="B286">
        <v>2013</v>
      </c>
      <c r="C286">
        <v>286</v>
      </c>
      <c r="D286">
        <v>19.7</v>
      </c>
      <c r="E286">
        <v>38</v>
      </c>
      <c r="F286">
        <v>22.5</v>
      </c>
      <c r="G286">
        <v>0</v>
      </c>
    </row>
    <row r="287" spans="1:7">
      <c r="A287" t="s">
        <v>36</v>
      </c>
      <c r="B287">
        <v>2013</v>
      </c>
      <c r="C287">
        <v>287</v>
      </c>
      <c r="D287">
        <v>20.8</v>
      </c>
      <c r="E287">
        <v>39</v>
      </c>
      <c r="F287">
        <v>22.5</v>
      </c>
      <c r="G287">
        <v>0</v>
      </c>
    </row>
    <row r="288" spans="1:7">
      <c r="A288" t="s">
        <v>36</v>
      </c>
      <c r="B288">
        <v>2013</v>
      </c>
      <c r="C288">
        <v>288</v>
      </c>
      <c r="D288">
        <v>19.600000000000001</v>
      </c>
      <c r="E288">
        <v>37.5</v>
      </c>
      <c r="F288">
        <v>24</v>
      </c>
      <c r="G288">
        <v>0</v>
      </c>
    </row>
    <row r="289" spans="1:7">
      <c r="A289" t="s">
        <v>36</v>
      </c>
      <c r="B289">
        <v>2013</v>
      </c>
      <c r="C289">
        <v>289</v>
      </c>
      <c r="D289">
        <v>20.6</v>
      </c>
      <c r="E289">
        <v>38</v>
      </c>
      <c r="F289">
        <v>22</v>
      </c>
      <c r="G289">
        <v>0</v>
      </c>
    </row>
    <row r="290" spans="1:7">
      <c r="A290" t="s">
        <v>36</v>
      </c>
      <c r="B290">
        <v>2013</v>
      </c>
      <c r="C290">
        <v>290</v>
      </c>
      <c r="D290">
        <v>18.399999999999999</v>
      </c>
      <c r="E290">
        <v>36</v>
      </c>
      <c r="F290">
        <v>23.5</v>
      </c>
      <c r="G290">
        <v>19.8</v>
      </c>
    </row>
    <row r="291" spans="1:7">
      <c r="A291" t="s">
        <v>36</v>
      </c>
      <c r="B291">
        <v>2013</v>
      </c>
      <c r="C291">
        <v>291</v>
      </c>
      <c r="D291">
        <v>15.3</v>
      </c>
      <c r="E291">
        <v>36.5</v>
      </c>
      <c r="F291">
        <v>22</v>
      </c>
      <c r="G291">
        <v>0.8</v>
      </c>
    </row>
    <row r="292" spans="1:7">
      <c r="A292" t="s">
        <v>36</v>
      </c>
      <c r="B292">
        <v>2013</v>
      </c>
      <c r="C292">
        <v>292</v>
      </c>
      <c r="D292">
        <v>19.3</v>
      </c>
      <c r="E292">
        <v>36</v>
      </c>
      <c r="F292">
        <v>21.5</v>
      </c>
      <c r="G292">
        <v>0.3</v>
      </c>
    </row>
    <row r="293" spans="1:7">
      <c r="A293" t="s">
        <v>36</v>
      </c>
      <c r="B293">
        <v>2013</v>
      </c>
      <c r="C293">
        <v>293</v>
      </c>
      <c r="D293">
        <v>17</v>
      </c>
      <c r="E293">
        <v>36.5</v>
      </c>
      <c r="F293">
        <v>21</v>
      </c>
      <c r="G293">
        <v>0</v>
      </c>
    </row>
    <row r="294" spans="1:7">
      <c r="A294" t="s">
        <v>36</v>
      </c>
      <c r="B294">
        <v>2013</v>
      </c>
      <c r="C294">
        <v>294</v>
      </c>
      <c r="D294">
        <v>16</v>
      </c>
      <c r="E294">
        <v>35.5</v>
      </c>
      <c r="F294">
        <v>21.5</v>
      </c>
      <c r="G294">
        <v>0</v>
      </c>
    </row>
    <row r="295" spans="1:7">
      <c r="A295" t="s">
        <v>36</v>
      </c>
      <c r="B295">
        <v>2013</v>
      </c>
      <c r="C295">
        <v>295</v>
      </c>
      <c r="D295">
        <v>11.7</v>
      </c>
      <c r="E295">
        <v>36</v>
      </c>
      <c r="F295">
        <v>21.5</v>
      </c>
      <c r="G295">
        <v>3.6</v>
      </c>
    </row>
    <row r="296" spans="1:7">
      <c r="A296" t="s">
        <v>36</v>
      </c>
      <c r="B296">
        <v>2013</v>
      </c>
      <c r="C296">
        <v>296</v>
      </c>
      <c r="D296">
        <v>18.8</v>
      </c>
      <c r="E296">
        <v>37</v>
      </c>
      <c r="F296">
        <v>22.5</v>
      </c>
      <c r="G296">
        <v>0.3</v>
      </c>
    </row>
    <row r="297" spans="1:7">
      <c r="A297" t="s">
        <v>36</v>
      </c>
      <c r="B297">
        <v>2013</v>
      </c>
      <c r="C297">
        <v>297</v>
      </c>
      <c r="D297">
        <v>19.5</v>
      </c>
      <c r="E297">
        <v>41</v>
      </c>
      <c r="F297">
        <v>20.5</v>
      </c>
      <c r="G297">
        <v>0</v>
      </c>
    </row>
    <row r="298" spans="1:7">
      <c r="A298" t="s">
        <v>36</v>
      </c>
      <c r="B298">
        <v>2013</v>
      </c>
      <c r="C298">
        <v>298</v>
      </c>
      <c r="D298">
        <v>18.8</v>
      </c>
      <c r="E298">
        <v>37.5</v>
      </c>
      <c r="F298">
        <v>19.5</v>
      </c>
      <c r="G298">
        <v>0</v>
      </c>
    </row>
    <row r="299" spans="1:7">
      <c r="A299" t="s">
        <v>36</v>
      </c>
      <c r="B299">
        <v>2013</v>
      </c>
      <c r="C299">
        <v>299</v>
      </c>
      <c r="D299">
        <v>17.600000000000001</v>
      </c>
      <c r="E299">
        <v>37.5</v>
      </c>
      <c r="F299">
        <v>21.5</v>
      </c>
      <c r="G299">
        <v>0</v>
      </c>
    </row>
    <row r="300" spans="1:7">
      <c r="A300" t="s">
        <v>36</v>
      </c>
      <c r="B300">
        <v>2013</v>
      </c>
      <c r="C300">
        <v>300</v>
      </c>
      <c r="D300">
        <v>10.7</v>
      </c>
      <c r="E300">
        <v>37</v>
      </c>
      <c r="F300">
        <v>21</v>
      </c>
      <c r="G300">
        <v>0</v>
      </c>
    </row>
    <row r="301" spans="1:7">
      <c r="A301" t="s">
        <v>36</v>
      </c>
      <c r="B301">
        <v>2013</v>
      </c>
      <c r="C301">
        <v>301</v>
      </c>
      <c r="D301">
        <v>16</v>
      </c>
      <c r="E301">
        <v>35.5</v>
      </c>
      <c r="F301">
        <v>21.5</v>
      </c>
      <c r="G301">
        <v>3.8</v>
      </c>
    </row>
    <row r="302" spans="1:7">
      <c r="A302" t="s">
        <v>36</v>
      </c>
      <c r="B302">
        <v>2013</v>
      </c>
      <c r="C302">
        <v>302</v>
      </c>
      <c r="D302">
        <v>18.399999999999999</v>
      </c>
      <c r="E302">
        <v>37</v>
      </c>
      <c r="F302">
        <v>20</v>
      </c>
      <c r="G302">
        <v>0.3</v>
      </c>
    </row>
    <row r="303" spans="1:7">
      <c r="A303" t="s">
        <v>36</v>
      </c>
      <c r="B303">
        <v>2013</v>
      </c>
      <c r="C303">
        <v>303</v>
      </c>
      <c r="D303">
        <v>20.100000000000001</v>
      </c>
      <c r="E303">
        <v>38</v>
      </c>
      <c r="F303">
        <v>19.5</v>
      </c>
      <c r="G303">
        <v>0</v>
      </c>
    </row>
    <row r="304" spans="1:7">
      <c r="A304" t="s">
        <v>36</v>
      </c>
      <c r="B304">
        <v>2013</v>
      </c>
      <c r="C304">
        <v>304</v>
      </c>
      <c r="D304">
        <v>17.899999999999999</v>
      </c>
      <c r="E304">
        <v>36.5</v>
      </c>
      <c r="F304">
        <v>20</v>
      </c>
      <c r="G304">
        <v>0</v>
      </c>
    </row>
    <row r="305" spans="1:7">
      <c r="A305" t="s">
        <v>36</v>
      </c>
      <c r="B305">
        <v>2013</v>
      </c>
      <c r="C305">
        <v>305</v>
      </c>
      <c r="D305">
        <v>18</v>
      </c>
      <c r="E305">
        <v>36.5</v>
      </c>
      <c r="F305">
        <v>17</v>
      </c>
      <c r="G305">
        <v>0</v>
      </c>
    </row>
    <row r="306" spans="1:7">
      <c r="A306" t="s">
        <v>36</v>
      </c>
      <c r="B306">
        <v>2013</v>
      </c>
      <c r="C306">
        <v>306</v>
      </c>
      <c r="D306">
        <v>19.100000000000001</v>
      </c>
      <c r="E306">
        <v>38</v>
      </c>
      <c r="F306">
        <v>20</v>
      </c>
      <c r="G306">
        <v>0</v>
      </c>
    </row>
    <row r="307" spans="1:7">
      <c r="A307" t="s">
        <v>36</v>
      </c>
      <c r="B307">
        <v>2013</v>
      </c>
      <c r="C307">
        <v>307</v>
      </c>
      <c r="D307">
        <v>16.100000000000001</v>
      </c>
      <c r="E307">
        <v>36.5</v>
      </c>
      <c r="F307">
        <v>17</v>
      </c>
      <c r="G307">
        <v>0</v>
      </c>
    </row>
    <row r="308" spans="1:7">
      <c r="A308" t="s">
        <v>36</v>
      </c>
      <c r="B308">
        <v>2013</v>
      </c>
      <c r="C308">
        <v>308</v>
      </c>
      <c r="D308">
        <v>15.8</v>
      </c>
      <c r="E308">
        <v>37</v>
      </c>
      <c r="F308">
        <v>18.5</v>
      </c>
      <c r="G308">
        <v>0</v>
      </c>
    </row>
    <row r="309" spans="1:7">
      <c r="A309" t="s">
        <v>36</v>
      </c>
      <c r="B309">
        <v>2013</v>
      </c>
      <c r="C309">
        <v>309</v>
      </c>
      <c r="D309">
        <v>19.600000000000001</v>
      </c>
      <c r="E309">
        <v>37</v>
      </c>
      <c r="F309">
        <v>12</v>
      </c>
      <c r="G309">
        <v>0</v>
      </c>
    </row>
    <row r="310" spans="1:7">
      <c r="A310" t="s">
        <v>36</v>
      </c>
      <c r="B310">
        <v>2013</v>
      </c>
      <c r="C310">
        <v>310</v>
      </c>
      <c r="D310">
        <v>20.2</v>
      </c>
      <c r="E310">
        <v>36.5</v>
      </c>
      <c r="F310">
        <v>12.5</v>
      </c>
      <c r="G310">
        <v>0</v>
      </c>
    </row>
    <row r="311" spans="1:7">
      <c r="A311" t="s">
        <v>36</v>
      </c>
      <c r="B311">
        <v>2013</v>
      </c>
      <c r="C311">
        <v>311</v>
      </c>
      <c r="D311">
        <v>19.600000000000001</v>
      </c>
      <c r="E311">
        <v>36.5</v>
      </c>
      <c r="F311">
        <v>13</v>
      </c>
      <c r="G311">
        <v>0</v>
      </c>
    </row>
    <row r="312" spans="1:7">
      <c r="A312" t="s">
        <v>36</v>
      </c>
      <c r="B312">
        <v>2013</v>
      </c>
      <c r="C312">
        <v>312</v>
      </c>
      <c r="D312">
        <v>20.3</v>
      </c>
      <c r="E312">
        <v>37.5</v>
      </c>
      <c r="F312">
        <v>13.5</v>
      </c>
      <c r="G312">
        <v>0</v>
      </c>
    </row>
    <row r="313" spans="1:7">
      <c r="A313" t="s">
        <v>36</v>
      </c>
      <c r="B313">
        <v>2013</v>
      </c>
      <c r="C313">
        <v>313</v>
      </c>
      <c r="D313">
        <v>19.600000000000001</v>
      </c>
      <c r="E313">
        <v>38</v>
      </c>
      <c r="F313">
        <v>13.5</v>
      </c>
      <c r="G313">
        <v>0</v>
      </c>
    </row>
    <row r="314" spans="1:7">
      <c r="A314" t="s">
        <v>36</v>
      </c>
      <c r="B314">
        <v>2013</v>
      </c>
      <c r="C314">
        <v>314</v>
      </c>
      <c r="D314">
        <v>18.899999999999999</v>
      </c>
      <c r="E314">
        <v>38</v>
      </c>
      <c r="F314">
        <v>14.5</v>
      </c>
      <c r="G314">
        <v>0</v>
      </c>
    </row>
    <row r="315" spans="1:7">
      <c r="A315" t="s">
        <v>36</v>
      </c>
      <c r="B315">
        <v>2013</v>
      </c>
      <c r="C315">
        <v>315</v>
      </c>
      <c r="D315">
        <v>19.100000000000001</v>
      </c>
      <c r="E315">
        <v>38.5</v>
      </c>
      <c r="F315">
        <v>11.5</v>
      </c>
      <c r="G315">
        <v>0</v>
      </c>
    </row>
    <row r="316" spans="1:7">
      <c r="A316" t="s">
        <v>36</v>
      </c>
      <c r="B316">
        <v>2013</v>
      </c>
      <c r="C316">
        <v>316</v>
      </c>
      <c r="D316">
        <v>18.7</v>
      </c>
      <c r="E316">
        <v>38</v>
      </c>
      <c r="F316">
        <v>12.5</v>
      </c>
      <c r="G316">
        <v>0</v>
      </c>
    </row>
    <row r="317" spans="1:7">
      <c r="A317" t="s">
        <v>36</v>
      </c>
      <c r="B317">
        <v>2013</v>
      </c>
      <c r="C317">
        <v>317</v>
      </c>
      <c r="D317">
        <v>17.399999999999999</v>
      </c>
      <c r="E317">
        <v>38</v>
      </c>
      <c r="F317">
        <v>11.5</v>
      </c>
      <c r="G317">
        <v>0</v>
      </c>
    </row>
    <row r="318" spans="1:7">
      <c r="A318" t="s">
        <v>36</v>
      </c>
      <c r="B318">
        <v>2013</v>
      </c>
      <c r="C318">
        <v>318</v>
      </c>
      <c r="D318">
        <v>18.899999999999999</v>
      </c>
      <c r="E318">
        <v>38.5</v>
      </c>
      <c r="F318">
        <v>11.5</v>
      </c>
      <c r="G318">
        <v>0</v>
      </c>
    </row>
    <row r="319" spans="1:7">
      <c r="A319" t="s">
        <v>36</v>
      </c>
      <c r="B319">
        <v>2013</v>
      </c>
      <c r="C319">
        <v>319</v>
      </c>
      <c r="D319">
        <v>19.2</v>
      </c>
      <c r="E319">
        <v>38</v>
      </c>
      <c r="F319">
        <v>12.5</v>
      </c>
      <c r="G319">
        <v>0</v>
      </c>
    </row>
    <row r="320" spans="1:7">
      <c r="A320" t="s">
        <v>36</v>
      </c>
      <c r="B320">
        <v>2013</v>
      </c>
      <c r="C320">
        <v>320</v>
      </c>
      <c r="D320">
        <v>18.8</v>
      </c>
      <c r="E320">
        <v>37.5</v>
      </c>
      <c r="F320">
        <v>15</v>
      </c>
      <c r="G320">
        <v>0</v>
      </c>
    </row>
    <row r="321" spans="1:7">
      <c r="A321" t="s">
        <v>36</v>
      </c>
      <c r="B321">
        <v>2013</v>
      </c>
      <c r="C321">
        <v>321</v>
      </c>
      <c r="D321">
        <v>17.100000000000001</v>
      </c>
      <c r="E321">
        <v>38</v>
      </c>
      <c r="F321">
        <v>18.5</v>
      </c>
      <c r="G321">
        <v>0</v>
      </c>
    </row>
    <row r="322" spans="1:7">
      <c r="A322" t="s">
        <v>36</v>
      </c>
      <c r="B322">
        <v>2013</v>
      </c>
      <c r="C322">
        <v>322</v>
      </c>
      <c r="D322">
        <v>16.8</v>
      </c>
      <c r="E322">
        <v>34</v>
      </c>
      <c r="F322">
        <v>17.5</v>
      </c>
      <c r="G322">
        <v>0</v>
      </c>
    </row>
    <row r="323" spans="1:7">
      <c r="A323" t="s">
        <v>36</v>
      </c>
      <c r="B323">
        <v>2013</v>
      </c>
      <c r="C323">
        <v>323</v>
      </c>
      <c r="D323">
        <v>17.899999999999999</v>
      </c>
      <c r="E323">
        <v>38</v>
      </c>
      <c r="F323">
        <v>15</v>
      </c>
      <c r="G323">
        <v>0</v>
      </c>
    </row>
    <row r="324" spans="1:7">
      <c r="A324" t="s">
        <v>36</v>
      </c>
      <c r="B324">
        <v>2013</v>
      </c>
      <c r="C324">
        <v>324</v>
      </c>
      <c r="D324">
        <v>16.600000000000001</v>
      </c>
      <c r="E324">
        <v>37.5</v>
      </c>
      <c r="F324">
        <v>12.5</v>
      </c>
      <c r="G324">
        <v>0</v>
      </c>
    </row>
    <row r="325" spans="1:7">
      <c r="A325" t="s">
        <v>36</v>
      </c>
      <c r="B325">
        <v>2013</v>
      </c>
      <c r="C325">
        <v>325</v>
      </c>
      <c r="D325">
        <v>16</v>
      </c>
      <c r="E325">
        <v>38</v>
      </c>
      <c r="F325">
        <v>15</v>
      </c>
      <c r="G325">
        <v>0</v>
      </c>
    </row>
    <row r="326" spans="1:7">
      <c r="A326" t="s">
        <v>36</v>
      </c>
      <c r="B326">
        <v>2013</v>
      </c>
      <c r="C326">
        <v>326</v>
      </c>
      <c r="D326">
        <v>15.8</v>
      </c>
      <c r="E326">
        <v>40</v>
      </c>
      <c r="F326">
        <v>15.5</v>
      </c>
      <c r="G326">
        <v>0</v>
      </c>
    </row>
    <row r="327" spans="1:7">
      <c r="A327" t="s">
        <v>36</v>
      </c>
      <c r="B327">
        <v>2013</v>
      </c>
      <c r="C327">
        <v>327</v>
      </c>
      <c r="D327">
        <v>17</v>
      </c>
      <c r="E327">
        <v>38</v>
      </c>
      <c r="F327">
        <v>14.5</v>
      </c>
      <c r="G327">
        <v>0</v>
      </c>
    </row>
    <row r="328" spans="1:7">
      <c r="A328" t="s">
        <v>36</v>
      </c>
      <c r="B328">
        <v>2013</v>
      </c>
      <c r="C328">
        <v>328</v>
      </c>
      <c r="D328">
        <v>18.100000000000001</v>
      </c>
      <c r="E328">
        <v>37.5</v>
      </c>
      <c r="F328">
        <v>16</v>
      </c>
      <c r="G328">
        <v>0</v>
      </c>
    </row>
    <row r="329" spans="1:7">
      <c r="A329" t="s">
        <v>36</v>
      </c>
      <c r="B329">
        <v>2013</v>
      </c>
      <c r="C329">
        <v>329</v>
      </c>
      <c r="D329">
        <v>18.3</v>
      </c>
      <c r="E329">
        <v>38</v>
      </c>
      <c r="F329">
        <v>10</v>
      </c>
      <c r="G329">
        <v>0</v>
      </c>
    </row>
    <row r="330" spans="1:7">
      <c r="A330" t="s">
        <v>36</v>
      </c>
      <c r="B330">
        <v>2013</v>
      </c>
      <c r="C330">
        <v>330</v>
      </c>
      <c r="D330">
        <v>17.7</v>
      </c>
      <c r="E330">
        <v>38</v>
      </c>
      <c r="F330">
        <v>16.75</v>
      </c>
      <c r="G330">
        <v>0</v>
      </c>
    </row>
    <row r="331" spans="1:7">
      <c r="A331" t="s">
        <v>36</v>
      </c>
      <c r="B331">
        <v>2013</v>
      </c>
      <c r="C331">
        <v>331</v>
      </c>
      <c r="D331">
        <v>18.2</v>
      </c>
      <c r="E331">
        <v>38.5</v>
      </c>
      <c r="F331">
        <v>13.5</v>
      </c>
      <c r="G331">
        <v>0</v>
      </c>
    </row>
    <row r="332" spans="1:7">
      <c r="A332" t="s">
        <v>36</v>
      </c>
      <c r="B332">
        <v>2013</v>
      </c>
      <c r="C332">
        <v>332</v>
      </c>
      <c r="D332">
        <v>17.399999999999999</v>
      </c>
      <c r="E332">
        <v>39.5</v>
      </c>
      <c r="F332">
        <v>17.5</v>
      </c>
      <c r="G332">
        <v>0</v>
      </c>
    </row>
    <row r="333" spans="1:7">
      <c r="A333" t="s">
        <v>36</v>
      </c>
      <c r="B333">
        <v>2013</v>
      </c>
      <c r="C333">
        <v>333</v>
      </c>
      <c r="D333">
        <v>15.1</v>
      </c>
      <c r="E333">
        <v>39.5</v>
      </c>
      <c r="F333">
        <v>16.5</v>
      </c>
      <c r="G333">
        <v>0</v>
      </c>
    </row>
    <row r="334" spans="1:7">
      <c r="A334" t="s">
        <v>36</v>
      </c>
      <c r="B334">
        <v>2013</v>
      </c>
      <c r="C334">
        <v>334</v>
      </c>
      <c r="D334">
        <v>17.399999999999999</v>
      </c>
      <c r="E334">
        <v>40</v>
      </c>
      <c r="F334">
        <v>17</v>
      </c>
      <c r="G334">
        <v>0</v>
      </c>
    </row>
    <row r="335" spans="1:7">
      <c r="A335" t="s">
        <v>36</v>
      </c>
      <c r="B335">
        <v>2013</v>
      </c>
      <c r="C335">
        <v>335</v>
      </c>
      <c r="D335">
        <v>17.600000000000001</v>
      </c>
      <c r="E335">
        <v>40.5</v>
      </c>
      <c r="F335">
        <v>18</v>
      </c>
      <c r="G335">
        <v>0</v>
      </c>
    </row>
    <row r="336" spans="1:7">
      <c r="A336" t="s">
        <v>36</v>
      </c>
      <c r="B336">
        <v>2013</v>
      </c>
      <c r="C336">
        <v>336</v>
      </c>
      <c r="D336">
        <v>17.399999999999999</v>
      </c>
      <c r="E336">
        <v>38.5</v>
      </c>
      <c r="F336">
        <v>13</v>
      </c>
      <c r="G336">
        <v>0</v>
      </c>
    </row>
    <row r="337" spans="1:7">
      <c r="A337" t="s">
        <v>36</v>
      </c>
      <c r="B337">
        <v>2013</v>
      </c>
      <c r="C337">
        <v>337</v>
      </c>
      <c r="D337">
        <v>17.7</v>
      </c>
      <c r="E337">
        <v>38</v>
      </c>
      <c r="F337">
        <v>12</v>
      </c>
      <c r="G337">
        <v>0</v>
      </c>
    </row>
    <row r="338" spans="1:7">
      <c r="A338" t="s">
        <v>36</v>
      </c>
      <c r="B338">
        <v>2013</v>
      </c>
      <c r="C338">
        <v>338</v>
      </c>
      <c r="D338">
        <v>15.5</v>
      </c>
      <c r="E338">
        <v>37.5</v>
      </c>
      <c r="F338">
        <v>12.5</v>
      </c>
      <c r="G338">
        <v>0</v>
      </c>
    </row>
    <row r="339" spans="1:7">
      <c r="A339" t="s">
        <v>36</v>
      </c>
      <c r="B339">
        <v>2013</v>
      </c>
      <c r="C339">
        <v>339</v>
      </c>
      <c r="D339">
        <v>17.5</v>
      </c>
      <c r="E339">
        <v>37.5</v>
      </c>
      <c r="F339">
        <v>15</v>
      </c>
      <c r="G339">
        <v>0</v>
      </c>
    </row>
    <row r="340" spans="1:7">
      <c r="A340" t="s">
        <v>36</v>
      </c>
      <c r="B340">
        <v>2013</v>
      </c>
      <c r="C340">
        <v>340</v>
      </c>
      <c r="D340">
        <v>17.899999999999999</v>
      </c>
      <c r="E340">
        <v>36.5</v>
      </c>
      <c r="F340">
        <v>9</v>
      </c>
      <c r="G340">
        <v>0</v>
      </c>
    </row>
    <row r="341" spans="1:7">
      <c r="A341" t="s">
        <v>36</v>
      </c>
      <c r="B341">
        <v>2013</v>
      </c>
      <c r="C341">
        <v>341</v>
      </c>
      <c r="D341">
        <v>17.8</v>
      </c>
      <c r="E341">
        <v>36</v>
      </c>
      <c r="F341">
        <v>9.5</v>
      </c>
      <c r="G341">
        <v>0</v>
      </c>
    </row>
    <row r="342" spans="1:7">
      <c r="A342" t="s">
        <v>36</v>
      </c>
      <c r="B342">
        <v>2013</v>
      </c>
      <c r="C342">
        <v>342</v>
      </c>
      <c r="D342">
        <v>17.600000000000001</v>
      </c>
      <c r="E342">
        <v>36.5</v>
      </c>
      <c r="F342">
        <v>9.5</v>
      </c>
      <c r="G342">
        <v>0</v>
      </c>
    </row>
    <row r="343" spans="1:7">
      <c r="A343" t="s">
        <v>36</v>
      </c>
      <c r="B343">
        <v>2013</v>
      </c>
      <c r="C343">
        <v>343</v>
      </c>
      <c r="D343">
        <v>17.8</v>
      </c>
      <c r="E343">
        <v>34.5</v>
      </c>
      <c r="F343">
        <v>11.5</v>
      </c>
      <c r="G343">
        <v>0</v>
      </c>
    </row>
    <row r="344" spans="1:7">
      <c r="A344" t="s">
        <v>36</v>
      </c>
      <c r="B344">
        <v>2013</v>
      </c>
      <c r="C344">
        <v>344</v>
      </c>
      <c r="D344">
        <v>17.899999999999999</v>
      </c>
      <c r="E344">
        <v>33.5</v>
      </c>
      <c r="F344">
        <v>15</v>
      </c>
      <c r="G344">
        <v>0</v>
      </c>
    </row>
    <row r="345" spans="1:7">
      <c r="A345" t="s">
        <v>36</v>
      </c>
      <c r="B345">
        <v>2013</v>
      </c>
      <c r="C345">
        <v>345</v>
      </c>
      <c r="D345">
        <v>18.100000000000001</v>
      </c>
      <c r="E345">
        <v>34.5</v>
      </c>
      <c r="F345">
        <v>12.5</v>
      </c>
      <c r="G345">
        <v>0</v>
      </c>
    </row>
    <row r="346" spans="1:7">
      <c r="A346" t="s">
        <v>36</v>
      </c>
      <c r="B346">
        <v>2013</v>
      </c>
      <c r="C346">
        <v>346</v>
      </c>
      <c r="D346">
        <v>17.100000000000001</v>
      </c>
      <c r="E346">
        <v>34.5</v>
      </c>
      <c r="F346">
        <v>10.5</v>
      </c>
      <c r="G346">
        <v>0</v>
      </c>
    </row>
    <row r="347" spans="1:7">
      <c r="A347" t="s">
        <v>36</v>
      </c>
      <c r="B347">
        <v>2013</v>
      </c>
      <c r="C347">
        <v>347</v>
      </c>
      <c r="D347">
        <v>16.2</v>
      </c>
      <c r="E347">
        <v>35.5</v>
      </c>
      <c r="F347">
        <v>10</v>
      </c>
      <c r="G347">
        <v>0</v>
      </c>
    </row>
    <row r="348" spans="1:7">
      <c r="A348" t="s">
        <v>36</v>
      </c>
      <c r="B348">
        <v>2013</v>
      </c>
      <c r="C348">
        <v>348</v>
      </c>
      <c r="D348">
        <v>15.4</v>
      </c>
      <c r="E348">
        <v>35</v>
      </c>
      <c r="F348">
        <v>11.5</v>
      </c>
      <c r="G348">
        <v>0</v>
      </c>
    </row>
    <row r="349" spans="1:7">
      <c r="A349" t="s">
        <v>36</v>
      </c>
      <c r="B349">
        <v>2013</v>
      </c>
      <c r="C349">
        <v>349</v>
      </c>
      <c r="D349">
        <v>14.2</v>
      </c>
      <c r="E349">
        <v>35</v>
      </c>
      <c r="F349">
        <v>10</v>
      </c>
      <c r="G349">
        <v>0</v>
      </c>
    </row>
    <row r="350" spans="1:7">
      <c r="A350" t="s">
        <v>36</v>
      </c>
      <c r="B350">
        <v>2013</v>
      </c>
      <c r="C350">
        <v>350</v>
      </c>
      <c r="D350">
        <v>6.8</v>
      </c>
      <c r="E350">
        <v>36</v>
      </c>
      <c r="F350">
        <v>10.5</v>
      </c>
      <c r="G350">
        <v>0</v>
      </c>
    </row>
    <row r="351" spans="1:7">
      <c r="A351" t="s">
        <v>36</v>
      </c>
      <c r="B351">
        <v>2013</v>
      </c>
      <c r="C351">
        <v>351</v>
      </c>
      <c r="D351">
        <v>8.4</v>
      </c>
      <c r="E351">
        <v>37</v>
      </c>
      <c r="F351">
        <v>11</v>
      </c>
      <c r="G351">
        <v>0</v>
      </c>
    </row>
    <row r="352" spans="1:7">
      <c r="A352" t="s">
        <v>36</v>
      </c>
      <c r="B352">
        <v>2013</v>
      </c>
      <c r="C352">
        <v>352</v>
      </c>
      <c r="D352">
        <v>14.3</v>
      </c>
      <c r="E352">
        <v>34</v>
      </c>
      <c r="F352">
        <v>13</v>
      </c>
      <c r="G352">
        <v>0</v>
      </c>
    </row>
    <row r="353" spans="1:7">
      <c r="A353" t="s">
        <v>36</v>
      </c>
      <c r="B353">
        <v>2013</v>
      </c>
      <c r="C353">
        <v>353</v>
      </c>
      <c r="D353">
        <v>12.7</v>
      </c>
      <c r="E353">
        <v>32.5</v>
      </c>
      <c r="F353">
        <v>12.5</v>
      </c>
      <c r="G353">
        <v>0</v>
      </c>
    </row>
    <row r="354" spans="1:7">
      <c r="A354" t="s">
        <v>36</v>
      </c>
      <c r="B354">
        <v>2013</v>
      </c>
      <c r="C354">
        <v>354</v>
      </c>
      <c r="D354">
        <v>15.9</v>
      </c>
      <c r="E354">
        <v>34</v>
      </c>
      <c r="F354">
        <v>10.5</v>
      </c>
      <c r="G354">
        <v>0</v>
      </c>
    </row>
    <row r="355" spans="1:7">
      <c r="A355" t="s">
        <v>36</v>
      </c>
      <c r="B355">
        <v>2013</v>
      </c>
      <c r="C355">
        <v>355</v>
      </c>
      <c r="D355">
        <v>16.600000000000001</v>
      </c>
      <c r="E355">
        <v>33.5</v>
      </c>
      <c r="F355">
        <v>13</v>
      </c>
      <c r="G355">
        <v>0</v>
      </c>
    </row>
    <row r="356" spans="1:7">
      <c r="A356" t="s">
        <v>36</v>
      </c>
      <c r="B356">
        <v>2013</v>
      </c>
      <c r="C356">
        <v>356</v>
      </c>
      <c r="D356">
        <v>17.3</v>
      </c>
      <c r="E356">
        <v>34</v>
      </c>
      <c r="F356">
        <v>11.5</v>
      </c>
      <c r="G356">
        <v>0</v>
      </c>
    </row>
    <row r="357" spans="1:7">
      <c r="A357" t="s">
        <v>36</v>
      </c>
      <c r="B357">
        <v>2013</v>
      </c>
      <c r="C357">
        <v>357</v>
      </c>
      <c r="D357">
        <v>17.600000000000001</v>
      </c>
      <c r="E357">
        <v>34</v>
      </c>
      <c r="F357">
        <v>14</v>
      </c>
      <c r="G357">
        <v>0</v>
      </c>
    </row>
    <row r="358" spans="1:7">
      <c r="A358" t="s">
        <v>36</v>
      </c>
      <c r="B358">
        <v>2013</v>
      </c>
      <c r="C358">
        <v>358</v>
      </c>
      <c r="D358">
        <v>16.7</v>
      </c>
      <c r="E358">
        <v>38.5</v>
      </c>
      <c r="F358">
        <v>12.5</v>
      </c>
      <c r="G358">
        <v>0</v>
      </c>
    </row>
    <row r="359" spans="1:7">
      <c r="A359" t="s">
        <v>36</v>
      </c>
      <c r="B359">
        <v>2013</v>
      </c>
      <c r="C359">
        <v>359</v>
      </c>
      <c r="D359">
        <v>15</v>
      </c>
      <c r="E359">
        <v>31.5</v>
      </c>
      <c r="F359">
        <v>21.5</v>
      </c>
      <c r="G359">
        <v>0</v>
      </c>
    </row>
    <row r="360" spans="1:7">
      <c r="A360" t="s">
        <v>36</v>
      </c>
      <c r="B360">
        <v>2013</v>
      </c>
      <c r="C360">
        <v>360</v>
      </c>
      <c r="D360">
        <v>16.5</v>
      </c>
      <c r="E360">
        <v>39</v>
      </c>
      <c r="F360">
        <v>19</v>
      </c>
      <c r="G360">
        <v>0</v>
      </c>
    </row>
    <row r="361" spans="1:7">
      <c r="A361" t="s">
        <v>36</v>
      </c>
      <c r="B361">
        <v>2013</v>
      </c>
      <c r="C361">
        <v>361</v>
      </c>
      <c r="D361">
        <v>16.5</v>
      </c>
      <c r="E361">
        <v>35.5</v>
      </c>
      <c r="F361">
        <v>11</v>
      </c>
      <c r="G361">
        <v>0</v>
      </c>
    </row>
    <row r="362" spans="1:7">
      <c r="A362" t="s">
        <v>36</v>
      </c>
      <c r="B362">
        <v>2013</v>
      </c>
      <c r="C362">
        <v>362</v>
      </c>
      <c r="D362">
        <v>16.8</v>
      </c>
      <c r="E362">
        <v>36</v>
      </c>
      <c r="F362">
        <v>17.5</v>
      </c>
      <c r="G362">
        <v>0</v>
      </c>
    </row>
    <row r="363" spans="1:7">
      <c r="A363" t="s">
        <v>36</v>
      </c>
      <c r="B363">
        <v>2013</v>
      </c>
      <c r="C363">
        <v>363</v>
      </c>
      <c r="D363">
        <v>16.5</v>
      </c>
      <c r="E363">
        <v>36</v>
      </c>
      <c r="F363">
        <v>19</v>
      </c>
      <c r="G363">
        <v>0</v>
      </c>
    </row>
    <row r="364" spans="1:7">
      <c r="A364" t="s">
        <v>36</v>
      </c>
      <c r="B364">
        <v>2013</v>
      </c>
      <c r="C364">
        <v>364</v>
      </c>
      <c r="D364">
        <v>17.100000000000001</v>
      </c>
      <c r="E364">
        <v>39</v>
      </c>
      <c r="F364">
        <v>17.5</v>
      </c>
      <c r="G364">
        <v>0</v>
      </c>
    </row>
    <row r="365" spans="1:7">
      <c r="A365" t="s">
        <v>36</v>
      </c>
      <c r="B365">
        <v>2013</v>
      </c>
      <c r="C365">
        <v>365</v>
      </c>
      <c r="D365">
        <v>15.6</v>
      </c>
      <c r="E365">
        <v>36.5</v>
      </c>
      <c r="F365">
        <v>13</v>
      </c>
      <c r="G365">
        <v>0</v>
      </c>
    </row>
  </sheetData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CSM63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Huth, Neil (CES, Toowoomba)</dc:creator>
  <cp:lastModifiedBy>Huth, Neil (Agriculture, Toowoomba)</cp:lastModifiedBy>
  <dcterms:created xsi:type="dcterms:W3CDTF">1996-10-14T23:33:28Z</dcterms:created>
  <dcterms:modified xsi:type="dcterms:W3CDTF">2015-05-14T20:07:33Z</dcterms:modified>
</cp:coreProperties>
</file>